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ASEAN\Connectivity\ASCN\Project with OEPs\China\ASUS Project\2026\AMS\"/>
    </mc:Choice>
  </mc:AlternateContent>
  <xr:revisionPtr revIDLastSave="0" documentId="13_ncr:1_{CE0DEBEB-6FD7-4FDE-8F65-0E7B760752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dget template" sheetId="1" r:id="rId1"/>
    <sheet name="Sheet2" sheetId="2" r:id="rId2"/>
    <sheet name="Sheet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1" l="1"/>
  <c r="J103" i="1"/>
  <c r="J99" i="1"/>
  <c r="J98" i="1"/>
  <c r="J90" i="1"/>
  <c r="J89" i="1"/>
  <c r="J88" i="1"/>
  <c r="J87" i="1"/>
  <c r="J86" i="1"/>
  <c r="J91" i="1" s="1"/>
  <c r="J81" i="1"/>
  <c r="J80" i="1"/>
  <c r="J79" i="1"/>
  <c r="J78" i="1"/>
  <c r="J77" i="1"/>
  <c r="J76" i="1"/>
  <c r="J75" i="1"/>
  <c r="J72" i="1"/>
  <c r="J71" i="1"/>
  <c r="J70" i="1"/>
  <c r="J69" i="1"/>
  <c r="J68" i="1"/>
  <c r="J67" i="1"/>
  <c r="J66" i="1"/>
  <c r="J63" i="1"/>
  <c r="J62" i="1"/>
  <c r="J61" i="1"/>
  <c r="J60" i="1"/>
  <c r="J59" i="1"/>
  <c r="J58" i="1"/>
  <c r="J57" i="1"/>
  <c r="J54" i="1"/>
  <c r="J53" i="1"/>
  <c r="J52" i="1"/>
  <c r="J51" i="1"/>
  <c r="J50" i="1"/>
  <c r="J48" i="1"/>
  <c r="J45" i="1"/>
  <c r="J44" i="1"/>
  <c r="J43" i="1"/>
  <c r="J42" i="1"/>
  <c r="J41" i="1"/>
  <c r="J40" i="1"/>
  <c r="J39" i="1"/>
  <c r="J38" i="1"/>
  <c r="J32" i="1"/>
  <c r="J31" i="1"/>
  <c r="J30" i="1"/>
  <c r="J29" i="1"/>
  <c r="J28" i="1"/>
  <c r="J24" i="1"/>
  <c r="J23" i="1"/>
  <c r="J22" i="1"/>
  <c r="J21" i="1"/>
  <c r="J20" i="1"/>
  <c r="J16" i="1"/>
  <c r="J15" i="1"/>
  <c r="J14" i="1"/>
  <c r="J13" i="1"/>
  <c r="J12" i="1"/>
  <c r="J100" i="1" l="1"/>
  <c r="J17" i="1"/>
  <c r="J73" i="1"/>
  <c r="J64" i="1"/>
  <c r="J55" i="1"/>
  <c r="J33" i="1"/>
  <c r="J25" i="1"/>
  <c r="J34" i="1" s="1"/>
  <c r="J46" i="1"/>
  <c r="J82" i="1"/>
  <c r="J105" i="1"/>
  <c r="J107" i="1" s="1"/>
  <c r="J92" i="1" l="1"/>
  <c r="J94" i="1" s="1"/>
  <c r="J109" i="1" s="1"/>
  <c r="J111" i="1" l="1"/>
  <c r="J113" i="1" s="1"/>
  <c r="J115" i="1" s="1"/>
</calcChain>
</file>

<file path=xl/sharedStrings.xml><?xml version="1.0" encoding="utf-8"?>
<sst xmlns="http://schemas.openxmlformats.org/spreadsheetml/2006/main" count="306" uniqueCount="128">
  <si>
    <t>Budget Line</t>
  </si>
  <si>
    <t>Description</t>
  </si>
  <si>
    <t>Unit Cost (USD)</t>
  </si>
  <si>
    <t>Quantity 1</t>
  </si>
  <si>
    <t>Unit 1</t>
  </si>
  <si>
    <t>Quantity 2</t>
  </si>
  <si>
    <t>Unit 2</t>
  </si>
  <si>
    <t>Total Cost (USD)</t>
  </si>
  <si>
    <t>Notes</t>
  </si>
  <si>
    <t>I. PROGRAMME/ACTIVITY COST</t>
  </si>
  <si>
    <t>A. Airfare(ASEAN Side)</t>
  </si>
  <si>
    <t>A.1</t>
  </si>
  <si>
    <t>International Airfare - Participants</t>
  </si>
  <si>
    <t>Person</t>
  </si>
  <si>
    <t>Time</t>
  </si>
  <si>
    <t>A.2</t>
  </si>
  <si>
    <t>Trip</t>
  </si>
  <si>
    <t>A.3</t>
  </si>
  <si>
    <t>A.4</t>
  </si>
  <si>
    <t>A.5</t>
  </si>
  <si>
    <t>Total Budget for  Airfare</t>
  </si>
  <si>
    <t>B. Per diem(ASEAN Side)</t>
  </si>
  <si>
    <t>B.1</t>
  </si>
  <si>
    <t>Per diem</t>
  </si>
  <si>
    <t>Day</t>
  </si>
  <si>
    <t>B.2</t>
  </si>
  <si>
    <t>B.3</t>
  </si>
  <si>
    <t>B.4</t>
  </si>
  <si>
    <t>B.5</t>
  </si>
  <si>
    <t>Total Budget for Per diem</t>
  </si>
  <si>
    <t>C. Meeting Package / Workshop / Seminar(ASEAN Side)</t>
  </si>
  <si>
    <t>C.1</t>
  </si>
  <si>
    <t>Meeting package (1 lunch + 2 snacks)</t>
  </si>
  <si>
    <t>Inception Forum/Offline in an ASEAN city</t>
  </si>
  <si>
    <t>C.2</t>
  </si>
  <si>
    <t>City Consultation/Offline in the participating cities</t>
  </si>
  <si>
    <t>C.3</t>
  </si>
  <si>
    <t>Regional Knowledge-Sharing and Consultation Forum/Offline in a Chinese city</t>
  </si>
  <si>
    <t>C.4</t>
  </si>
  <si>
    <t>City Consultation(Training)/Offline in the participating cities</t>
  </si>
  <si>
    <t>C.5</t>
  </si>
  <si>
    <t>Closing Event/Offline in a Chinese city</t>
  </si>
  <si>
    <t>Total Budget for Meeting Package / Workshop / Seminar</t>
  </si>
  <si>
    <t>Total for ASEAN guests conference attending cost (A+B+C)</t>
  </si>
  <si>
    <t>D. Consultancy</t>
  </si>
  <si>
    <t>D.1</t>
  </si>
  <si>
    <t>General Contractor</t>
  </si>
  <si>
    <t>Inception report</t>
  </si>
  <si>
    <t>report</t>
  </si>
  <si>
    <t>Lumpsum</t>
  </si>
  <si>
    <t>Including project personnel costs, data&amp;articles purchase expenses, administrative and management costs, etc.</t>
  </si>
  <si>
    <t>Completion report</t>
  </si>
  <si>
    <t>International Airfare for participants from Chinese side</t>
  </si>
  <si>
    <t>For Implementing agency side(leaders, staffs, assistants...etc) 3 times international trip+ 2 time domestic trip(mentioned above)
The average price includes the cost of airport transfers to and from the hotel</t>
  </si>
  <si>
    <t>Printing/Translation/Interpretation</t>
  </si>
  <si>
    <t>offline seminar/meeting/Forum/onsite visit/ interpretation(2 interpretaters) and Translation of final reports/documents</t>
  </si>
  <si>
    <t>Chinese Experts consultancy fee</t>
  </si>
  <si>
    <t>Please determine the technical service subsidies according to ASEAN relevant standards.</t>
  </si>
  <si>
    <t>Chinese Experts Onsite Visit Travel expenses</t>
  </si>
  <si>
    <t>Accommodation($125 per day)+Meal($50 per day)+Sundry fees($35 per day)</t>
  </si>
  <si>
    <t>Media Publicity</t>
  </si>
  <si>
    <t>Expenditure on publicity activities; Photo and video shoots and release on relevant professional newspapers/websites/ television</t>
  </si>
  <si>
    <t>Travel Expense</t>
  </si>
  <si>
    <t>Total Budget for General Contractor (Chinese guests expense)</t>
  </si>
  <si>
    <t>Sumedang</t>
  </si>
  <si>
    <t>City Diagnostic Reports</t>
  </si>
  <si>
    <t>City Technical Proposals/Documents</t>
  </si>
  <si>
    <t>Project Team Onsite Visit Travel expenses</t>
  </si>
  <si>
    <t>Project Team Airfare (Round trip)+ Transportation</t>
  </si>
  <si>
    <t>Expert consultancy fee</t>
  </si>
  <si>
    <t>Expert Onsite Visit Travel expenses</t>
  </si>
  <si>
    <t>Expert Airfare</t>
  </si>
  <si>
    <t>Total Budget for Sumedang</t>
  </si>
  <si>
    <t>D.3</t>
  </si>
  <si>
    <t>Sihanoukville City</t>
  </si>
  <si>
    <t>Accommodation($100 per day)+Meal($40 per day)+Sundry fees($30 per day)</t>
  </si>
  <si>
    <t>Total Budget for Sihanoukville City</t>
  </si>
  <si>
    <r>
      <rPr>
        <sz val="10"/>
        <color theme="1"/>
        <rFont val="Calibri"/>
        <family val="2"/>
        <scheme val="minor"/>
      </rPr>
      <t>D.</t>
    </r>
    <r>
      <rPr>
        <sz val="10"/>
        <color theme="1"/>
        <rFont val="Calibri"/>
        <family val="2"/>
        <scheme val="minor"/>
      </rPr>
      <t>4</t>
    </r>
  </si>
  <si>
    <t>Phuket</t>
  </si>
  <si>
    <t>Accommodation($80 per day)+Meal($50 per day)+Sundry fees($35 per day)</t>
  </si>
  <si>
    <t>Total Budget for Phuket</t>
  </si>
  <si>
    <r>
      <rPr>
        <sz val="10"/>
        <color theme="1"/>
        <rFont val="Calibri"/>
        <family val="2"/>
        <scheme val="minor"/>
      </rPr>
      <t>D.</t>
    </r>
    <r>
      <rPr>
        <sz val="10"/>
        <color theme="1"/>
        <rFont val="Calibri"/>
        <family val="2"/>
        <scheme val="minor"/>
      </rPr>
      <t>5</t>
    </r>
  </si>
  <si>
    <t>Luang Prabang</t>
  </si>
  <si>
    <t>Accommodation($90 per day)+Meal($40 per day)+Sundry fees($30 per day)</t>
  </si>
  <si>
    <t>Total Budget for Luang Prabang</t>
  </si>
  <si>
    <r>
      <rPr>
        <sz val="10"/>
        <color theme="1"/>
        <rFont val="Calibri"/>
        <family val="2"/>
        <scheme val="minor"/>
      </rPr>
      <t>D.</t>
    </r>
    <r>
      <rPr>
        <sz val="10"/>
        <color theme="1"/>
        <rFont val="Calibri"/>
        <family val="2"/>
        <scheme val="minor"/>
      </rPr>
      <t>6</t>
    </r>
  </si>
  <si>
    <t>Cebu City</t>
  </si>
  <si>
    <t>Accommodation($130 per day)+Meal($50 per day)+Sundry fees($35 per day)</t>
  </si>
  <si>
    <t>Total Budget for Cebu City</t>
  </si>
  <si>
    <t>Total Budget for Consultancy(D.1+D.2+D.3+D.4+D.5+D.6)</t>
  </si>
  <si>
    <t xml:space="preserve"> SUB TOTAL OF PROGRAMME COST (I) </t>
  </si>
  <si>
    <t>II. OPERATIONAL COST</t>
  </si>
  <si>
    <t>E. Administrative</t>
  </si>
  <si>
    <t>E.1</t>
  </si>
  <si>
    <t>Conference Room Rental/Meeting Equipment</t>
  </si>
  <si>
    <t>Unit</t>
  </si>
  <si>
    <t xml:space="preserve">expenditures for offline activities </t>
  </si>
  <si>
    <t>E.2</t>
  </si>
  <si>
    <t>Conference Supplies</t>
  </si>
  <si>
    <t>Paper/Pen/Bottle water/printing materials etc.</t>
  </si>
  <si>
    <t>Total Budget for Administrative</t>
  </si>
  <si>
    <t>F. Personnel</t>
  </si>
  <si>
    <t>F.1</t>
  </si>
  <si>
    <t>Project Manager Assistant</t>
  </si>
  <si>
    <t>F.2</t>
  </si>
  <si>
    <t>Project Staff</t>
  </si>
  <si>
    <t>Total Budget for Personnel</t>
  </si>
  <si>
    <t>SUB TOTAL OF OPERATIONAL COST (II)</t>
  </si>
  <si>
    <t>SUB TOTAL (I + II)</t>
  </si>
  <si>
    <t>Contingency  5%  (III)</t>
  </si>
  <si>
    <t>Tax 6% (IV)</t>
  </si>
  <si>
    <t>TOTAL (I + II + III + IV)</t>
  </si>
  <si>
    <t>Annex 2.1: Budget Proposal</t>
  </si>
  <si>
    <t xml:space="preserve">Approved by CPR through ad-referendum review and approval on 31 December 2025
</t>
  </si>
  <si>
    <r>
      <t xml:space="preserve">Project Title : </t>
    </r>
    <r>
      <rPr>
        <sz val="11"/>
        <color theme="1"/>
        <rFont val="Calibri"/>
        <family val="2"/>
        <scheme val="minor"/>
      </rPr>
      <t>Technical Assistance for Project Development and Preparation for Smart and Sustainable Urbanisation in ASEAN Cities - Phase One</t>
    </r>
  </si>
  <si>
    <r>
      <t xml:space="preserve">Implementing Agency : </t>
    </r>
    <r>
      <rPr>
        <sz val="11"/>
        <color theme="1"/>
        <rFont val="Calibri"/>
        <family val="2"/>
        <scheme val="minor"/>
      </rPr>
      <t xml:space="preserve">China Center for Urban Development (CCUD), National Development and Reform Commission, China </t>
    </r>
  </si>
  <si>
    <t>Closing Event/Offline in a Chinese city/5 participating cities x 2 = 10
11 ASCN National Representatives x 2 = 22/Other 29 ASCN cities x 1 = 29/ASEC x 2 = 2/9 to be reserved   Total number of participants = 72</t>
  </si>
  <si>
    <t>Inception Forum/Offline in an ASEAN city/DSA:$250 per day</t>
  </si>
  <si>
    <t>City Consultation/Offline in the participating cities/DSA(ASEC):$250 per day</t>
  </si>
  <si>
    <t>Regional Knowledge-Sharing and Consultation Forum/Offline in a Chinese city/DSA:$250 per day</t>
  </si>
  <si>
    <t>City Consultation(Training)/Offline in the participating cities/ DSA(ASEC):$250 per day</t>
  </si>
  <si>
    <t>Closing Event/Offline in a Chinese city/DSA:$250 per day</t>
  </si>
  <si>
    <t>D.2</t>
  </si>
  <si>
    <r>
      <rPr>
        <sz val="8"/>
        <rFont val="Calibri"/>
        <family val="2"/>
        <scheme val="minor"/>
      </rPr>
      <t>Inception Forum</t>
    </r>
    <r>
      <rPr>
        <sz val="8"/>
        <color theme="1"/>
        <rFont val="Calibri"/>
        <family val="2"/>
        <scheme val="minor"/>
      </rPr>
      <t xml:space="preserve">/Offline in an ASEAN city/5 participating cities x 2 = 10
11 ASCN National Representatives x 2 = 22/Other 29 ASCN cities x 1 = 29/ASEC x 2 = 2/9 to be reserved   </t>
    </r>
    <r>
      <rPr>
        <sz val="8"/>
        <color rgb="FF000000"/>
        <rFont val="Calibri"/>
        <family val="2"/>
        <scheme val="minor"/>
      </rPr>
      <t>Total number of participants = 72
Here is the estimated average airfare, including business class (for no more than 5 passengers) and economy class tickets, as well as  the cost of airport transfers to and from the hotel</t>
    </r>
  </si>
  <si>
    <t>City Consultation/Offline in the participating cities/      Airfare for ASEC: 5 trips</t>
  </si>
  <si>
    <t>Regional Knowledge-Sharing and Consultation Forum/Offline in a Chinese city/    Total number of participants = 70
Here is the estimated average airfare, including business class (for no more than 5 passengers) and economy class tickets.</t>
  </si>
  <si>
    <t>City Consultation(Training)/Offline in the participating cities/  Airfare for ASEC: 5 trips</t>
  </si>
  <si>
    <r>
      <t xml:space="preserve">Duration/Period : </t>
    </r>
    <r>
      <rPr>
        <sz val="11"/>
        <color theme="1"/>
        <rFont val="Calibri"/>
        <family val="2"/>
        <scheme val="minor"/>
      </rPr>
      <t>June 2026 - May 2029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</si>
</sst>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/>
    <xf numFmtId="43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3" fontId="4" fillId="2" borderId="1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/>
    <xf numFmtId="0" fontId="2" fillId="3" borderId="4" xfId="0" applyFont="1" applyFill="1" applyBorder="1"/>
    <xf numFmtId="10" fontId="4" fillId="0" borderId="1" xfId="0" applyNumberFormat="1" applyFont="1" applyBorder="1" applyAlignment="1">
      <alignment vertical="center"/>
    </xf>
    <xf numFmtId="10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43" fontId="4" fillId="0" borderId="3" xfId="0" applyNumberFormat="1" applyFont="1" applyBorder="1" applyAlignment="1">
      <alignment vertical="center"/>
    </xf>
    <xf numFmtId="0" fontId="2" fillId="0" borderId="4" xfId="0" applyFont="1" applyBorder="1"/>
    <xf numFmtId="10" fontId="2" fillId="0" borderId="5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vertical="center"/>
    </xf>
    <xf numFmtId="10" fontId="2" fillId="0" borderId="3" xfId="0" applyNumberFormat="1" applyFont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1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horizontal="left" vertical="center"/>
    </xf>
    <xf numFmtId="43" fontId="2" fillId="0" borderId="2" xfId="1" applyFont="1" applyFill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43" fontId="4" fillId="0" borderId="3" xfId="1" applyFont="1" applyFill="1" applyBorder="1" applyAlignment="1">
      <alignment vertical="center"/>
    </xf>
    <xf numFmtId="0" fontId="2" fillId="0" borderId="5" xfId="0" applyFont="1" applyBorder="1"/>
    <xf numFmtId="10" fontId="4" fillId="0" borderId="6" xfId="0" applyNumberFormat="1" applyFont="1" applyBorder="1" applyAlignment="1">
      <alignment vertical="center"/>
    </xf>
    <xf numFmtId="10" fontId="2" fillId="0" borderId="7" xfId="0" applyNumberFormat="1" applyFont="1" applyBorder="1" applyAlignment="1">
      <alignment vertical="center"/>
    </xf>
    <xf numFmtId="43" fontId="2" fillId="0" borderId="7" xfId="0" applyNumberFormat="1" applyFont="1" applyBorder="1" applyAlignment="1">
      <alignment vertical="center"/>
    </xf>
    <xf numFmtId="1" fontId="2" fillId="0" borderId="7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43" fontId="4" fillId="0" borderId="2" xfId="1" applyFont="1" applyFill="1" applyBorder="1" applyAlignment="1">
      <alignment vertical="center"/>
    </xf>
    <xf numFmtId="0" fontId="2" fillId="0" borderId="3" xfId="0" applyFont="1" applyBorder="1"/>
    <xf numFmtId="43" fontId="2" fillId="0" borderId="5" xfId="0" applyNumberFormat="1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/>
    </xf>
    <xf numFmtId="43" fontId="2" fillId="0" borderId="5" xfId="0" applyNumberFormat="1" applyFont="1" applyBorder="1" applyAlignment="1">
      <alignment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vertical="center" wrapText="1"/>
    </xf>
    <xf numFmtId="43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vertical="center" wrapText="1"/>
    </xf>
    <xf numFmtId="43" fontId="2" fillId="0" borderId="5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4" fillId="0" borderId="8" xfId="0" applyNumberFormat="1" applyFont="1" applyBorder="1" applyAlignment="1">
      <alignment vertical="center"/>
    </xf>
    <xf numFmtId="0" fontId="2" fillId="0" borderId="9" xfId="0" applyFont="1" applyBorder="1"/>
    <xf numFmtId="10" fontId="2" fillId="0" borderId="10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horizontal="center" vertical="center"/>
    </xf>
    <xf numFmtId="43" fontId="4" fillId="0" borderId="11" xfId="0" applyNumberFormat="1" applyFont="1" applyBorder="1" applyAlignment="1">
      <alignment vertical="center"/>
    </xf>
    <xf numFmtId="0" fontId="2" fillId="0" borderId="8" xfId="0" applyFont="1" applyBorder="1"/>
    <xf numFmtId="10" fontId="4" fillId="0" borderId="10" xfId="0" applyNumberFormat="1" applyFont="1" applyBorder="1" applyAlignment="1">
      <alignment vertical="center"/>
    </xf>
    <xf numFmtId="43" fontId="4" fillId="0" borderId="7" xfId="0" applyNumberFormat="1" applyFont="1" applyBorder="1" applyAlignment="1">
      <alignment vertical="center"/>
    </xf>
    <xf numFmtId="0" fontId="2" fillId="0" borderId="12" xfId="0" applyFont="1" applyBorder="1"/>
    <xf numFmtId="10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/>
    <xf numFmtId="10" fontId="4" fillId="0" borderId="5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left" vertical="center"/>
    </xf>
    <xf numFmtId="10" fontId="2" fillId="0" borderId="3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wrapText="1"/>
    </xf>
    <xf numFmtId="1" fontId="2" fillId="0" borderId="9" xfId="0" applyNumberFormat="1" applyFont="1" applyBorder="1" applyAlignment="1">
      <alignment horizontal="center" vertical="center"/>
    </xf>
    <xf numFmtId="43" fontId="2" fillId="0" borderId="8" xfId="1" applyFont="1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10" fontId="2" fillId="0" borderId="12" xfId="0" applyNumberFormat="1" applyFont="1" applyBorder="1" applyAlignment="1">
      <alignment vertical="center"/>
    </xf>
    <xf numFmtId="43" fontId="2" fillId="0" borderId="3" xfId="1" applyFont="1" applyFill="1" applyBorder="1" applyAlignment="1">
      <alignment vertical="center"/>
    </xf>
    <xf numFmtId="0" fontId="5" fillId="0" borderId="4" xfId="0" applyFont="1" applyBorder="1" applyAlignment="1">
      <alignment wrapText="1"/>
    </xf>
    <xf numFmtId="10" fontId="6" fillId="0" borderId="2" xfId="0" applyNumberFormat="1" applyFont="1" applyBorder="1" applyAlignment="1">
      <alignment vertical="center"/>
    </xf>
    <xf numFmtId="10" fontId="6" fillId="0" borderId="3" xfId="0" applyNumberFormat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4" fillId="0" borderId="0" xfId="1" applyFont="1" applyFill="1" applyBorder="1" applyAlignment="1">
      <alignment vertical="center"/>
    </xf>
    <xf numFmtId="10" fontId="4" fillId="4" borderId="10" xfId="0" applyNumberFormat="1" applyFont="1" applyFill="1" applyBorder="1" applyAlignment="1">
      <alignment vertical="center"/>
    </xf>
    <xf numFmtId="10" fontId="4" fillId="4" borderId="0" xfId="0" applyNumberFormat="1" applyFont="1" applyFill="1" applyAlignment="1">
      <alignment vertical="center"/>
    </xf>
    <xf numFmtId="43" fontId="4" fillId="4" borderId="0" xfId="1" applyFont="1" applyFill="1" applyBorder="1" applyAlignment="1">
      <alignment vertical="center"/>
    </xf>
    <xf numFmtId="1" fontId="4" fillId="4" borderId="0" xfId="0" applyNumberFormat="1" applyFont="1" applyFill="1" applyAlignment="1">
      <alignment horizontal="center" vertical="center"/>
    </xf>
    <xf numFmtId="10" fontId="4" fillId="4" borderId="0" xfId="0" applyNumberFormat="1" applyFont="1" applyFill="1" applyAlignment="1">
      <alignment horizontal="center" vertical="center"/>
    </xf>
    <xf numFmtId="0" fontId="2" fillId="4" borderId="15" xfId="0" applyFont="1" applyFill="1" applyBorder="1"/>
    <xf numFmtId="0" fontId="4" fillId="3" borderId="16" xfId="0" applyFont="1" applyFill="1" applyBorder="1"/>
    <xf numFmtId="43" fontId="2" fillId="0" borderId="15" xfId="0" applyNumberFormat="1" applyFont="1" applyBorder="1" applyAlignment="1">
      <alignment vertical="center"/>
    </xf>
    <xf numFmtId="43" fontId="2" fillId="0" borderId="7" xfId="1" applyFont="1" applyFill="1" applyBorder="1" applyAlignment="1">
      <alignment vertical="center"/>
    </xf>
    <xf numFmtId="43" fontId="4" fillId="0" borderId="15" xfId="1" applyFont="1" applyFill="1" applyBorder="1" applyAlignment="1">
      <alignment vertical="center"/>
    </xf>
    <xf numFmtId="43" fontId="4" fillId="0" borderId="11" xfId="1" applyFont="1" applyFill="1" applyBorder="1" applyAlignment="1">
      <alignment vertical="center"/>
    </xf>
    <xf numFmtId="43" fontId="2" fillId="0" borderId="13" xfId="1" applyFont="1" applyFill="1" applyBorder="1" applyAlignment="1">
      <alignment vertical="center"/>
    </xf>
    <xf numFmtId="10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43" fontId="4" fillId="0" borderId="8" xfId="1" applyFont="1" applyFill="1" applyBorder="1" applyAlignment="1">
      <alignment vertical="center"/>
    </xf>
    <xf numFmtId="10" fontId="7" fillId="0" borderId="6" xfId="0" applyNumberFormat="1" applyFont="1" applyBorder="1" applyAlignment="1">
      <alignment vertical="center"/>
    </xf>
    <xf numFmtId="43" fontId="7" fillId="0" borderId="12" xfId="1" applyFont="1" applyFill="1" applyBorder="1" applyAlignment="1">
      <alignment vertical="center"/>
    </xf>
    <xf numFmtId="0" fontId="8" fillId="0" borderId="0" xfId="0" applyFont="1"/>
    <xf numFmtId="43" fontId="8" fillId="0" borderId="0" xfId="0" applyNumberFormat="1" applyFont="1"/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/>
    <xf numFmtId="0" fontId="10" fillId="0" borderId="0" xfId="0" applyFont="1"/>
    <xf numFmtId="43" fontId="12" fillId="0" borderId="0" xfId="0" applyNumberFormat="1" applyFont="1"/>
    <xf numFmtId="0" fontId="10" fillId="0" borderId="0" xfId="0" applyFont="1" applyAlignment="1">
      <alignment wrapText="1"/>
    </xf>
    <xf numFmtId="0" fontId="13" fillId="0" borderId="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5" fillId="0" borderId="5" xfId="0" applyFont="1" applyBorder="1" applyAlignment="1">
      <alignment vertical="center"/>
    </xf>
    <xf numFmtId="43" fontId="15" fillId="0" borderId="5" xfId="1" applyFont="1" applyFill="1" applyBorder="1" applyAlignment="1">
      <alignment vertical="center"/>
    </xf>
    <xf numFmtId="0" fontId="15" fillId="0" borderId="5" xfId="0" applyFont="1" applyBorder="1"/>
    <xf numFmtId="0" fontId="15" fillId="0" borderId="0" xfId="0" applyFont="1"/>
    <xf numFmtId="43" fontId="15" fillId="0" borderId="5" xfId="0" applyNumberFormat="1" applyFont="1" applyBorder="1" applyAlignment="1">
      <alignment vertical="center"/>
    </xf>
    <xf numFmtId="10" fontId="15" fillId="0" borderId="2" xfId="0" applyNumberFormat="1" applyFont="1" applyBorder="1" applyAlignment="1">
      <alignment vertical="center"/>
    </xf>
    <xf numFmtId="43" fontId="15" fillId="0" borderId="9" xfId="1" applyFont="1" applyFill="1" applyBorder="1" applyAlignment="1">
      <alignment vertical="center"/>
    </xf>
    <xf numFmtId="10" fontId="16" fillId="0" borderId="5" xfId="0" applyNumberFormat="1" applyFont="1" applyBorder="1" applyAlignment="1">
      <alignment vertical="center"/>
    </xf>
    <xf numFmtId="1" fontId="15" fillId="0" borderId="9" xfId="0" applyNumberFormat="1" applyFont="1" applyBorder="1" applyAlignment="1">
      <alignment horizontal="center" vertical="center"/>
    </xf>
    <xf numFmtId="10" fontId="15" fillId="0" borderId="9" xfId="0" applyNumberFormat="1" applyFont="1" applyBorder="1" applyAlignment="1">
      <alignment horizontal="center" vertical="center"/>
    </xf>
    <xf numFmtId="43" fontId="15" fillId="0" borderId="8" xfId="1" applyFont="1" applyFill="1" applyBorder="1" applyAlignment="1">
      <alignment vertical="center"/>
    </xf>
    <xf numFmtId="10" fontId="15" fillId="0" borderId="5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vertical="center"/>
    </xf>
    <xf numFmtId="10" fontId="15" fillId="0" borderId="0" xfId="0" applyNumberFormat="1" applyFont="1" applyAlignment="1">
      <alignment vertical="center"/>
    </xf>
    <xf numFmtId="1" fontId="15" fillId="0" borderId="5" xfId="0" applyNumberFormat="1" applyFont="1" applyBorder="1" applyAlignment="1">
      <alignment horizontal="center" vertical="center"/>
    </xf>
    <xf numFmtId="10" fontId="15" fillId="0" borderId="3" xfId="0" applyNumberFormat="1" applyFont="1" applyBorder="1" applyAlignment="1">
      <alignment vertical="center"/>
    </xf>
    <xf numFmtId="43" fontId="15" fillId="0" borderId="0" xfId="0" applyNumberFormat="1" applyFont="1"/>
    <xf numFmtId="43" fontId="15" fillId="0" borderId="2" xfId="0" applyNumberFormat="1" applyFont="1" applyBorder="1" applyAlignment="1">
      <alignment vertical="center"/>
    </xf>
    <xf numFmtId="43" fontId="15" fillId="0" borderId="1" xfId="0" applyNumberFormat="1" applyFont="1" applyBorder="1" applyAlignment="1">
      <alignment vertical="center"/>
    </xf>
    <xf numFmtId="10" fontId="16" fillId="0" borderId="1" xfId="0" applyNumberFormat="1" applyFont="1" applyBorder="1" applyAlignment="1">
      <alignment vertical="center"/>
    </xf>
    <xf numFmtId="10" fontId="15" fillId="0" borderId="12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43" fontId="15" fillId="0" borderId="3" xfId="1" applyFont="1" applyFill="1" applyBorder="1" applyAlignment="1">
      <alignment vertical="center"/>
    </xf>
    <xf numFmtId="10" fontId="15" fillId="0" borderId="5" xfId="0" applyNumberFormat="1" applyFont="1" applyBorder="1" applyAlignment="1">
      <alignment vertical="center"/>
    </xf>
    <xf numFmtId="10" fontId="15" fillId="0" borderId="1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wrapText="1"/>
    </xf>
    <xf numFmtId="10" fontId="2" fillId="0" borderId="1" xfId="0" applyNumberFormat="1" applyFont="1" applyBorder="1" applyAlignment="1">
      <alignment horizontal="left" vertical="center"/>
    </xf>
    <xf numFmtId="10" fontId="2" fillId="0" borderId="3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10" fontId="15" fillId="0" borderId="1" xfId="0" applyNumberFormat="1" applyFont="1" applyBorder="1" applyAlignment="1">
      <alignment horizontal="left" vertical="center"/>
    </xf>
    <xf numFmtId="10" fontId="15" fillId="0" borderId="3" xfId="0" applyNumberFormat="1" applyFont="1" applyBorder="1" applyAlignment="1">
      <alignment horizontal="left" vertical="center"/>
    </xf>
    <xf numFmtId="10" fontId="15" fillId="0" borderId="2" xfId="0" applyNumberFormat="1" applyFont="1" applyBorder="1" applyAlignment="1">
      <alignment horizontal="center" vertical="center"/>
    </xf>
    <xf numFmtId="10" fontId="15" fillId="0" borderId="3" xfId="0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 wrapText="1"/>
    </xf>
    <xf numFmtId="10" fontId="2" fillId="0" borderId="3" xfId="0" applyNumberFormat="1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left" vertical="center"/>
    </xf>
    <xf numFmtId="10" fontId="4" fillId="0" borderId="12" xfId="0" applyNumberFormat="1" applyFont="1" applyBorder="1" applyAlignment="1">
      <alignment horizontal="left" vertical="center"/>
    </xf>
    <xf numFmtId="43" fontId="4" fillId="2" borderId="1" xfId="0" applyNumberFormat="1" applyFont="1" applyFill="1" applyBorder="1" applyAlignment="1">
      <alignment horizontal="center" vertical="center" wrapText="1"/>
    </xf>
    <xf numFmtId="43" fontId="4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92D050"/>
      <color rgb="FFDCE6F1"/>
      <color rgb="FF0070C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19"/>
  <sheetViews>
    <sheetView tabSelected="1" zoomScale="115" zoomScaleNormal="115" workbookViewId="0">
      <selection activeCell="B7" sqref="B7"/>
    </sheetView>
  </sheetViews>
  <sheetFormatPr defaultColWidth="9.140625" defaultRowHeight="12.75"/>
  <cols>
    <col min="1" max="1" width="11" style="1" customWidth="1"/>
    <col min="2" max="2" width="8.7109375" style="1" customWidth="1"/>
    <col min="3" max="3" width="9.42578125" style="1" customWidth="1"/>
    <col min="4" max="4" width="28.28515625" style="1" customWidth="1"/>
    <col min="5" max="5" width="14.140625" style="2" customWidth="1"/>
    <col min="6" max="6" width="10" style="3" customWidth="1"/>
    <col min="7" max="7" width="8.85546875" style="4" customWidth="1"/>
    <col min="8" max="8" width="10.140625" style="3" customWidth="1"/>
    <col min="9" max="9" width="6.85546875" style="5" customWidth="1"/>
    <col min="10" max="10" width="19.85546875" style="2" customWidth="1"/>
    <col min="11" max="11" width="100.5703125" style="1" customWidth="1"/>
    <col min="12" max="16384" width="9.140625" style="1"/>
  </cols>
  <sheetData>
    <row r="1" spans="2:11" ht="27.95" customHeight="1">
      <c r="C1" s="104"/>
      <c r="D1" s="104"/>
      <c r="E1" s="104"/>
      <c r="F1" s="104"/>
      <c r="G1" s="104"/>
      <c r="H1" s="104"/>
      <c r="I1" s="104"/>
      <c r="J1" s="104"/>
      <c r="K1" s="103" t="s">
        <v>113</v>
      </c>
    </row>
    <row r="2" spans="2:11" ht="15">
      <c r="B2" s="99"/>
      <c r="C2" s="100"/>
      <c r="D2" s="100"/>
      <c r="E2" s="100"/>
      <c r="F2" s="100"/>
      <c r="G2" s="100"/>
      <c r="H2" s="100"/>
      <c r="I2" s="100"/>
      <c r="J2" s="100"/>
    </row>
    <row r="3" spans="2:11" ht="18.75">
      <c r="B3" s="101" t="s">
        <v>112</v>
      </c>
      <c r="C3" s="100"/>
      <c r="D3" s="100"/>
      <c r="E3" s="100"/>
      <c r="F3" s="100"/>
      <c r="G3" s="100"/>
      <c r="H3" s="100"/>
      <c r="I3" s="100"/>
      <c r="J3" s="100"/>
    </row>
    <row r="4" spans="2:11" ht="15">
      <c r="B4" s="102"/>
      <c r="C4" s="100"/>
      <c r="D4" s="100"/>
      <c r="E4" s="100"/>
      <c r="F4" s="100"/>
      <c r="G4" s="100"/>
      <c r="H4" s="100"/>
      <c r="I4" s="100"/>
      <c r="J4" s="100"/>
    </row>
    <row r="5" spans="2:11" ht="15">
      <c r="B5" s="102" t="s">
        <v>114</v>
      </c>
      <c r="C5" s="100"/>
      <c r="D5" s="100"/>
      <c r="E5" s="100"/>
      <c r="F5" s="100"/>
      <c r="G5" s="100"/>
      <c r="H5" s="100"/>
      <c r="I5" s="100"/>
      <c r="J5" s="100"/>
    </row>
    <row r="6" spans="2:11" ht="15">
      <c r="B6" s="102" t="s">
        <v>115</v>
      </c>
      <c r="C6" s="100"/>
      <c r="D6" s="100"/>
      <c r="E6" s="100"/>
      <c r="F6" s="100"/>
      <c r="G6" s="100"/>
      <c r="H6" s="100"/>
      <c r="I6" s="100"/>
      <c r="J6" s="100"/>
    </row>
    <row r="7" spans="2:11" ht="15">
      <c r="B7" s="148" t="s">
        <v>127</v>
      </c>
      <c r="C7" s="100"/>
      <c r="D7" s="100"/>
      <c r="E7" s="100"/>
      <c r="F7" s="100"/>
      <c r="G7" s="100"/>
      <c r="H7" s="100"/>
      <c r="I7" s="100"/>
      <c r="J7" s="100"/>
    </row>
    <row r="9" spans="2:11" ht="38.25" customHeight="1">
      <c r="B9" s="6" t="s">
        <v>0</v>
      </c>
      <c r="C9" s="146" t="s">
        <v>1</v>
      </c>
      <c r="D9" s="147"/>
      <c r="E9" s="6" t="s">
        <v>2</v>
      </c>
      <c r="F9" s="6" t="s">
        <v>3</v>
      </c>
      <c r="G9" s="6" t="s">
        <v>4</v>
      </c>
      <c r="H9" s="6" t="s">
        <v>5</v>
      </c>
      <c r="I9" s="6" t="s">
        <v>6</v>
      </c>
      <c r="J9" s="6" t="s">
        <v>7</v>
      </c>
      <c r="K9" s="6" t="s">
        <v>8</v>
      </c>
    </row>
    <row r="10" spans="2:11">
      <c r="B10" s="7" t="s">
        <v>9</v>
      </c>
      <c r="C10" s="8"/>
      <c r="D10" s="8"/>
      <c r="E10" s="8"/>
      <c r="F10" s="8"/>
      <c r="G10" s="8"/>
      <c r="H10" s="8"/>
      <c r="I10" s="8"/>
      <c r="J10" s="8"/>
      <c r="K10" s="8"/>
    </row>
    <row r="11" spans="2:11">
      <c r="B11" s="9" t="s">
        <v>10</v>
      </c>
      <c r="C11" s="10"/>
      <c r="D11" s="10"/>
      <c r="E11" s="11"/>
      <c r="F11" s="12"/>
      <c r="G11" s="13"/>
      <c r="H11" s="12"/>
      <c r="I11" s="13"/>
      <c r="J11" s="14"/>
      <c r="K11" s="15"/>
    </row>
    <row r="12" spans="2:11" ht="45">
      <c r="B12" s="16" t="s">
        <v>11</v>
      </c>
      <c r="C12" s="17" t="s">
        <v>12</v>
      </c>
      <c r="D12" s="18"/>
      <c r="E12" s="19">
        <v>1000</v>
      </c>
      <c r="F12" s="20">
        <v>72</v>
      </c>
      <c r="G12" s="16" t="s">
        <v>13</v>
      </c>
      <c r="H12" s="20">
        <v>1</v>
      </c>
      <c r="I12" s="16" t="s">
        <v>14</v>
      </c>
      <c r="J12" s="19">
        <f>E12*F12*H12</f>
        <v>72000</v>
      </c>
      <c r="K12" s="132" t="s">
        <v>123</v>
      </c>
    </row>
    <row r="13" spans="2:11">
      <c r="B13" s="16" t="s">
        <v>15</v>
      </c>
      <c r="C13" s="17" t="s">
        <v>12</v>
      </c>
      <c r="D13" s="18"/>
      <c r="E13" s="19">
        <v>1000</v>
      </c>
      <c r="F13" s="20">
        <v>5</v>
      </c>
      <c r="G13" s="16" t="s">
        <v>16</v>
      </c>
      <c r="H13" s="20">
        <v>1</v>
      </c>
      <c r="I13" s="16" t="s">
        <v>14</v>
      </c>
      <c r="J13" s="19">
        <f>E13*F13*H13</f>
        <v>5000</v>
      </c>
      <c r="K13" s="105" t="s">
        <v>124</v>
      </c>
    </row>
    <row r="14" spans="2:11" ht="22.5">
      <c r="B14" s="16" t="s">
        <v>17</v>
      </c>
      <c r="C14" s="17" t="s">
        <v>12</v>
      </c>
      <c r="D14" s="18"/>
      <c r="E14" s="19">
        <v>2000</v>
      </c>
      <c r="F14" s="20">
        <v>70</v>
      </c>
      <c r="G14" s="16" t="s">
        <v>13</v>
      </c>
      <c r="H14" s="20">
        <v>1</v>
      </c>
      <c r="I14" s="16" t="s">
        <v>14</v>
      </c>
      <c r="J14" s="19">
        <f>E14*F14*H14</f>
        <v>140000</v>
      </c>
      <c r="K14" s="105" t="s">
        <v>125</v>
      </c>
    </row>
    <row r="15" spans="2:11">
      <c r="B15" s="16" t="s">
        <v>18</v>
      </c>
      <c r="C15" s="17" t="s">
        <v>12</v>
      </c>
      <c r="D15" s="18"/>
      <c r="E15" s="19">
        <v>1000</v>
      </c>
      <c r="F15" s="20">
        <v>5</v>
      </c>
      <c r="G15" s="16" t="s">
        <v>16</v>
      </c>
      <c r="H15" s="20">
        <v>1</v>
      </c>
      <c r="I15" s="16" t="s">
        <v>14</v>
      </c>
      <c r="J15" s="19">
        <f>E15*F15*H15</f>
        <v>5000</v>
      </c>
      <c r="K15" s="105" t="s">
        <v>126</v>
      </c>
    </row>
    <row r="16" spans="2:11" ht="36" customHeight="1">
      <c r="B16" s="16" t="s">
        <v>19</v>
      </c>
      <c r="C16" s="21" t="s">
        <v>12</v>
      </c>
      <c r="D16" s="21"/>
      <c r="E16" s="19">
        <v>2000</v>
      </c>
      <c r="F16" s="20">
        <v>72</v>
      </c>
      <c r="G16" s="16" t="s">
        <v>13</v>
      </c>
      <c r="H16" s="20">
        <v>1</v>
      </c>
      <c r="I16" s="16" t="s">
        <v>14</v>
      </c>
      <c r="J16" s="19">
        <f>E16*F16*H16</f>
        <v>144000</v>
      </c>
      <c r="K16" s="106" t="s">
        <v>116</v>
      </c>
    </row>
    <row r="17" spans="2:11">
      <c r="B17" s="17" t="s">
        <v>20</v>
      </c>
      <c r="C17" s="22"/>
      <c r="D17" s="22"/>
      <c r="E17" s="23"/>
      <c r="F17" s="24"/>
      <c r="G17" s="25"/>
      <c r="H17" s="24"/>
      <c r="I17" s="25"/>
      <c r="J17" s="26">
        <f>SUM(J12:J16)</f>
        <v>366000</v>
      </c>
      <c r="K17" s="27"/>
    </row>
    <row r="18" spans="2:11">
      <c r="B18" s="28"/>
      <c r="C18" s="29"/>
      <c r="D18" s="29"/>
      <c r="E18" s="30"/>
      <c r="F18" s="31"/>
      <c r="G18" s="32"/>
      <c r="H18" s="31"/>
      <c r="I18" s="32"/>
      <c r="J18" s="33"/>
      <c r="K18" s="34"/>
    </row>
    <row r="19" spans="2:11">
      <c r="B19" s="9" t="s">
        <v>21</v>
      </c>
      <c r="C19" s="10"/>
      <c r="D19" s="10"/>
      <c r="E19" s="11"/>
      <c r="F19" s="12"/>
      <c r="G19" s="13"/>
      <c r="H19" s="12"/>
      <c r="I19" s="13"/>
      <c r="J19" s="14"/>
      <c r="K19" s="27"/>
    </row>
    <row r="20" spans="2:11">
      <c r="B20" s="16" t="s">
        <v>22</v>
      </c>
      <c r="C20" s="142" t="s">
        <v>23</v>
      </c>
      <c r="D20" s="143"/>
      <c r="E20" s="35">
        <v>250</v>
      </c>
      <c r="F20" s="20">
        <v>70</v>
      </c>
      <c r="G20" s="16" t="s">
        <v>13</v>
      </c>
      <c r="H20" s="20">
        <v>3</v>
      </c>
      <c r="I20" s="16" t="s">
        <v>24</v>
      </c>
      <c r="J20" s="19">
        <f>E20*F20*H20</f>
        <v>52500</v>
      </c>
      <c r="K20" s="106" t="s">
        <v>117</v>
      </c>
    </row>
    <row r="21" spans="2:11">
      <c r="B21" s="36" t="s">
        <v>25</v>
      </c>
      <c r="C21" s="142" t="s">
        <v>23</v>
      </c>
      <c r="D21" s="143"/>
      <c r="E21" s="37">
        <v>250</v>
      </c>
      <c r="F21" s="38">
        <v>5</v>
      </c>
      <c r="G21" s="39" t="s">
        <v>16</v>
      </c>
      <c r="H21" s="38">
        <v>5</v>
      </c>
      <c r="I21" s="39" t="s">
        <v>24</v>
      </c>
      <c r="J21" s="19">
        <f>E21*F21*H21</f>
        <v>6250</v>
      </c>
      <c r="K21" s="106" t="s">
        <v>118</v>
      </c>
    </row>
    <row r="22" spans="2:11">
      <c r="B22" s="36" t="s">
        <v>26</v>
      </c>
      <c r="C22" s="142" t="s">
        <v>23</v>
      </c>
      <c r="D22" s="143"/>
      <c r="E22" s="37">
        <v>250</v>
      </c>
      <c r="F22" s="38">
        <v>70</v>
      </c>
      <c r="G22" s="39" t="s">
        <v>13</v>
      </c>
      <c r="H22" s="38">
        <v>4</v>
      </c>
      <c r="I22" s="39" t="s">
        <v>24</v>
      </c>
      <c r="J22" s="19">
        <f>E22*F22*H22</f>
        <v>70000</v>
      </c>
      <c r="K22" s="106" t="s">
        <v>119</v>
      </c>
    </row>
    <row r="23" spans="2:11">
      <c r="B23" s="36" t="s">
        <v>27</v>
      </c>
      <c r="C23" s="142" t="s">
        <v>23</v>
      </c>
      <c r="D23" s="143"/>
      <c r="E23" s="37">
        <v>250</v>
      </c>
      <c r="F23" s="38">
        <v>5</v>
      </c>
      <c r="G23" s="39" t="s">
        <v>16</v>
      </c>
      <c r="H23" s="38">
        <v>2</v>
      </c>
      <c r="I23" s="39" t="s">
        <v>24</v>
      </c>
      <c r="J23" s="19">
        <f>E23*F23*H23</f>
        <v>2500</v>
      </c>
      <c r="K23" s="106" t="s">
        <v>120</v>
      </c>
    </row>
    <row r="24" spans="2:11">
      <c r="B24" s="36" t="s">
        <v>28</v>
      </c>
      <c r="C24" s="142" t="s">
        <v>23</v>
      </c>
      <c r="D24" s="143"/>
      <c r="E24" s="37">
        <v>250</v>
      </c>
      <c r="F24" s="38">
        <v>70</v>
      </c>
      <c r="G24" s="39" t="s">
        <v>13</v>
      </c>
      <c r="H24" s="38">
        <v>4</v>
      </c>
      <c r="I24" s="39" t="s">
        <v>24</v>
      </c>
      <c r="J24" s="19">
        <f>E24*F24*H24</f>
        <v>70000</v>
      </c>
      <c r="K24" s="106" t="s">
        <v>121</v>
      </c>
    </row>
    <row r="25" spans="2:11">
      <c r="B25" s="17" t="s">
        <v>29</v>
      </c>
      <c r="C25" s="40"/>
      <c r="D25" s="40"/>
      <c r="E25" s="41"/>
      <c r="F25" s="42"/>
      <c r="G25" s="43"/>
      <c r="H25" s="42"/>
      <c r="I25" s="43"/>
      <c r="J25" s="26">
        <f>SUM(J20:J24)</f>
        <v>201250</v>
      </c>
      <c r="K25" s="27"/>
    </row>
    <row r="26" spans="2:11">
      <c r="B26" s="17"/>
      <c r="C26" s="40"/>
      <c r="D26" s="40"/>
      <c r="E26" s="41"/>
      <c r="F26" s="42"/>
      <c r="G26" s="43"/>
      <c r="H26" s="42"/>
      <c r="I26" s="43"/>
      <c r="J26" s="26"/>
      <c r="K26" s="27"/>
    </row>
    <row r="27" spans="2:11">
      <c r="B27" s="9" t="s">
        <v>30</v>
      </c>
      <c r="C27" s="10"/>
      <c r="D27" s="10"/>
      <c r="E27" s="11"/>
      <c r="F27" s="12"/>
      <c r="G27" s="13"/>
      <c r="H27" s="12"/>
      <c r="I27" s="13"/>
      <c r="J27" s="14"/>
      <c r="K27" s="27"/>
    </row>
    <row r="28" spans="2:11" ht="15" customHeight="1">
      <c r="B28" s="16" t="s">
        <v>31</v>
      </c>
      <c r="C28" s="17" t="s">
        <v>32</v>
      </c>
      <c r="D28" s="44"/>
      <c r="E28" s="45">
        <v>60</v>
      </c>
      <c r="F28" s="20">
        <v>70</v>
      </c>
      <c r="G28" s="16" t="s">
        <v>13</v>
      </c>
      <c r="H28" s="20">
        <v>2</v>
      </c>
      <c r="I28" s="16" t="s">
        <v>24</v>
      </c>
      <c r="J28" s="19">
        <f>E28*F28*H28</f>
        <v>8400</v>
      </c>
      <c r="K28" s="106" t="s">
        <v>33</v>
      </c>
    </row>
    <row r="29" spans="2:11" ht="15" customHeight="1">
      <c r="B29" s="16" t="s">
        <v>34</v>
      </c>
      <c r="C29" s="17" t="s">
        <v>32</v>
      </c>
      <c r="D29" s="44"/>
      <c r="E29" s="45">
        <v>60</v>
      </c>
      <c r="F29" s="20">
        <v>45</v>
      </c>
      <c r="G29" s="16" t="s">
        <v>13</v>
      </c>
      <c r="H29" s="20">
        <v>5</v>
      </c>
      <c r="I29" s="16" t="s">
        <v>24</v>
      </c>
      <c r="J29" s="19">
        <f>E29*F29*H29</f>
        <v>13500</v>
      </c>
      <c r="K29" s="106" t="s">
        <v>35</v>
      </c>
    </row>
    <row r="30" spans="2:11" ht="15" customHeight="1">
      <c r="B30" s="16" t="s">
        <v>36</v>
      </c>
      <c r="C30" s="17" t="s">
        <v>32</v>
      </c>
      <c r="D30" s="44"/>
      <c r="E30" s="45">
        <v>60</v>
      </c>
      <c r="F30" s="20">
        <v>70</v>
      </c>
      <c r="G30" s="16" t="s">
        <v>13</v>
      </c>
      <c r="H30" s="20">
        <v>3</v>
      </c>
      <c r="I30" s="16" t="s">
        <v>24</v>
      </c>
      <c r="J30" s="19">
        <f>E30*F30*H30</f>
        <v>12600</v>
      </c>
      <c r="K30" s="106" t="s">
        <v>37</v>
      </c>
    </row>
    <row r="31" spans="2:11" ht="15" customHeight="1">
      <c r="B31" s="16" t="s">
        <v>38</v>
      </c>
      <c r="C31" s="17" t="s">
        <v>32</v>
      </c>
      <c r="D31" s="44"/>
      <c r="E31" s="45">
        <v>60</v>
      </c>
      <c r="F31" s="20">
        <v>155</v>
      </c>
      <c r="G31" s="16" t="s">
        <v>13</v>
      </c>
      <c r="H31" s="20">
        <v>2</v>
      </c>
      <c r="I31" s="16" t="s">
        <v>24</v>
      </c>
      <c r="J31" s="19">
        <f>E31*F31*H31</f>
        <v>18600</v>
      </c>
      <c r="K31" s="106" t="s">
        <v>39</v>
      </c>
    </row>
    <row r="32" spans="2:11" ht="15" customHeight="1">
      <c r="B32" s="16" t="s">
        <v>40</v>
      </c>
      <c r="C32" s="17" t="s">
        <v>32</v>
      </c>
      <c r="D32" s="44"/>
      <c r="E32" s="45">
        <v>60</v>
      </c>
      <c r="F32" s="20">
        <v>70</v>
      </c>
      <c r="G32" s="16" t="s">
        <v>13</v>
      </c>
      <c r="H32" s="20">
        <v>3</v>
      </c>
      <c r="I32" s="16" t="s">
        <v>24</v>
      </c>
      <c r="J32" s="19">
        <f>E32*F32*H32</f>
        <v>12600</v>
      </c>
      <c r="K32" s="106" t="s">
        <v>41</v>
      </c>
    </row>
    <row r="33" spans="2:11">
      <c r="B33" s="21" t="s">
        <v>42</v>
      </c>
      <c r="C33" s="17"/>
      <c r="D33" s="46"/>
      <c r="E33" s="47"/>
      <c r="F33" s="24"/>
      <c r="G33" s="25"/>
      <c r="H33" s="24"/>
      <c r="I33" s="25"/>
      <c r="J33" s="14">
        <f>SUM(J28:J32)</f>
        <v>65700</v>
      </c>
      <c r="K33" s="27"/>
    </row>
    <row r="34" spans="2:11">
      <c r="B34" s="21" t="s">
        <v>43</v>
      </c>
      <c r="C34" s="46"/>
      <c r="D34" s="18"/>
      <c r="E34" s="48"/>
      <c r="F34" s="24"/>
      <c r="G34" s="25"/>
      <c r="H34" s="24"/>
      <c r="I34" s="25"/>
      <c r="J34" s="49">
        <f>J17+J25+J33</f>
        <v>632950</v>
      </c>
      <c r="K34" s="50"/>
    </row>
    <row r="35" spans="2:11">
      <c r="B35" s="51"/>
      <c r="C35" s="52"/>
      <c r="D35" s="52"/>
      <c r="E35" s="53"/>
      <c r="G35" s="54"/>
      <c r="I35" s="54"/>
      <c r="J35" s="55"/>
      <c r="K35" s="56"/>
    </row>
    <row r="36" spans="2:11">
      <c r="B36" s="57" t="s">
        <v>44</v>
      </c>
      <c r="C36" s="52"/>
      <c r="D36" s="52"/>
      <c r="E36" s="53"/>
      <c r="G36" s="54"/>
      <c r="I36" s="54"/>
      <c r="J36" s="58"/>
      <c r="K36" s="59"/>
    </row>
    <row r="37" spans="2:11">
      <c r="B37" s="60" t="s">
        <v>45</v>
      </c>
      <c r="C37" s="144" t="s">
        <v>46</v>
      </c>
      <c r="D37" s="136"/>
      <c r="E37" s="136"/>
      <c r="F37" s="136"/>
      <c r="G37" s="136"/>
      <c r="H37" s="136"/>
      <c r="I37" s="136"/>
      <c r="J37" s="145"/>
      <c r="K37" s="61"/>
    </row>
    <row r="38" spans="2:11">
      <c r="B38" s="62"/>
      <c r="C38" s="133" t="s">
        <v>47</v>
      </c>
      <c r="D38" s="134"/>
      <c r="E38" s="45">
        <v>80000</v>
      </c>
      <c r="F38" s="20">
        <v>1</v>
      </c>
      <c r="G38" s="4" t="s">
        <v>48</v>
      </c>
      <c r="H38" s="20">
        <v>1</v>
      </c>
      <c r="I38" s="16" t="s">
        <v>49</v>
      </c>
      <c r="J38" s="45">
        <f>E38*F38*H38</f>
        <v>80000</v>
      </c>
      <c r="K38" s="65" t="s">
        <v>50</v>
      </c>
    </row>
    <row r="39" spans="2:11">
      <c r="B39" s="62"/>
      <c r="C39" s="63" t="s">
        <v>51</v>
      </c>
      <c r="D39" s="64"/>
      <c r="E39" s="45">
        <v>80000</v>
      </c>
      <c r="F39" s="20">
        <v>1</v>
      </c>
      <c r="G39" s="4" t="s">
        <v>48</v>
      </c>
      <c r="H39" s="20">
        <v>1</v>
      </c>
      <c r="I39" s="16" t="s">
        <v>49</v>
      </c>
      <c r="J39" s="45">
        <f>E39*F39*H39</f>
        <v>80000</v>
      </c>
      <c r="K39" s="65"/>
    </row>
    <row r="40" spans="2:11" ht="29.1" customHeight="1">
      <c r="B40" s="62"/>
      <c r="C40" s="142" t="s">
        <v>52</v>
      </c>
      <c r="D40" s="143"/>
      <c r="E40" s="45">
        <v>2000</v>
      </c>
      <c r="F40" s="20">
        <v>8</v>
      </c>
      <c r="G40" s="16" t="s">
        <v>13</v>
      </c>
      <c r="H40" s="20">
        <v>15</v>
      </c>
      <c r="I40" s="16" t="s">
        <v>14</v>
      </c>
      <c r="J40" s="45">
        <f t="shared" ref="J40:J45" si="0">E40*F40*H40</f>
        <v>240000</v>
      </c>
      <c r="K40" s="106" t="s">
        <v>53</v>
      </c>
    </row>
    <row r="41" spans="2:11">
      <c r="B41" s="62"/>
      <c r="C41" s="21" t="s">
        <v>54</v>
      </c>
      <c r="D41" s="21"/>
      <c r="E41" s="45">
        <v>200000</v>
      </c>
      <c r="F41" s="20">
        <v>1</v>
      </c>
      <c r="G41" s="16" t="s">
        <v>49</v>
      </c>
      <c r="H41" s="20">
        <v>1</v>
      </c>
      <c r="I41" s="16" t="s">
        <v>49</v>
      </c>
      <c r="J41" s="45">
        <f t="shared" si="0"/>
        <v>200000</v>
      </c>
      <c r="K41" s="106" t="s">
        <v>55</v>
      </c>
    </row>
    <row r="42" spans="2:11">
      <c r="B42" s="114"/>
      <c r="C42" s="137" t="s">
        <v>56</v>
      </c>
      <c r="D42" s="138"/>
      <c r="E42" s="108">
        <v>700</v>
      </c>
      <c r="F42" s="115">
        <v>20</v>
      </c>
      <c r="G42" s="116" t="s">
        <v>13</v>
      </c>
      <c r="H42" s="115">
        <v>1</v>
      </c>
      <c r="I42" s="116" t="s">
        <v>24</v>
      </c>
      <c r="J42" s="117">
        <f t="shared" si="0"/>
        <v>14000</v>
      </c>
      <c r="K42" s="106" t="s">
        <v>57</v>
      </c>
    </row>
    <row r="43" spans="2:11">
      <c r="B43" s="118"/>
      <c r="C43" s="119" t="s">
        <v>58</v>
      </c>
      <c r="D43" s="120"/>
      <c r="E43" s="108">
        <v>210</v>
      </c>
      <c r="F43" s="115">
        <v>20</v>
      </c>
      <c r="G43" s="116" t="s">
        <v>13</v>
      </c>
      <c r="H43" s="115">
        <v>1</v>
      </c>
      <c r="I43" s="116" t="s">
        <v>24</v>
      </c>
      <c r="J43" s="117">
        <f t="shared" si="0"/>
        <v>4200</v>
      </c>
      <c r="K43" s="106" t="s">
        <v>59</v>
      </c>
    </row>
    <row r="44" spans="2:11" ht="24" customHeight="1">
      <c r="B44" s="114"/>
      <c r="C44" s="137" t="s">
        <v>60</v>
      </c>
      <c r="D44" s="138"/>
      <c r="E44" s="111">
        <v>110000</v>
      </c>
      <c r="F44" s="121">
        <v>1</v>
      </c>
      <c r="G44" s="118" t="s">
        <v>49</v>
      </c>
      <c r="H44" s="121">
        <v>1</v>
      </c>
      <c r="I44" s="118" t="s">
        <v>49</v>
      </c>
      <c r="J44" s="111">
        <f t="shared" si="0"/>
        <v>110000</v>
      </c>
      <c r="K44" s="106" t="s">
        <v>61</v>
      </c>
    </row>
    <row r="45" spans="2:11">
      <c r="B45" s="114"/>
      <c r="C45" s="137" t="s">
        <v>62</v>
      </c>
      <c r="D45" s="138"/>
      <c r="E45" s="108">
        <v>210</v>
      </c>
      <c r="F45" s="121">
        <v>8</v>
      </c>
      <c r="G45" s="118" t="s">
        <v>13</v>
      </c>
      <c r="H45" s="121">
        <v>120</v>
      </c>
      <c r="I45" s="118" t="s">
        <v>14</v>
      </c>
      <c r="J45" s="111">
        <f t="shared" si="0"/>
        <v>201600</v>
      </c>
      <c r="K45" s="27"/>
    </row>
    <row r="46" spans="2:11">
      <c r="B46" s="119" t="s">
        <v>63</v>
      </c>
      <c r="C46" s="112"/>
      <c r="D46" s="122"/>
      <c r="E46" s="123"/>
      <c r="F46" s="124"/>
      <c r="G46" s="124"/>
      <c r="H46" s="124"/>
      <c r="I46" s="124"/>
      <c r="J46" s="125">
        <f>SUM(J38:J45)</f>
        <v>929800</v>
      </c>
      <c r="K46" s="68"/>
    </row>
    <row r="47" spans="2:11">
      <c r="B47" s="118" t="s">
        <v>122</v>
      </c>
      <c r="C47" s="126" t="s">
        <v>64</v>
      </c>
      <c r="D47" s="139"/>
      <c r="E47" s="139"/>
      <c r="F47" s="139"/>
      <c r="G47" s="139"/>
      <c r="H47" s="139"/>
      <c r="I47" s="139"/>
      <c r="J47" s="140"/>
      <c r="K47" s="68"/>
    </row>
    <row r="48" spans="2:11">
      <c r="B48" s="118"/>
      <c r="C48" s="119" t="s">
        <v>65</v>
      </c>
      <c r="D48" s="127"/>
      <c r="E48" s="108">
        <v>30000</v>
      </c>
      <c r="F48" s="121">
        <v>1</v>
      </c>
      <c r="G48" s="128" t="s">
        <v>48</v>
      </c>
      <c r="H48" s="121">
        <v>1</v>
      </c>
      <c r="I48" s="118" t="s">
        <v>49</v>
      </c>
      <c r="J48" s="129">
        <f>E48*F48*H48</f>
        <v>30000</v>
      </c>
      <c r="K48" s="106" t="s">
        <v>50</v>
      </c>
    </row>
    <row r="49" spans="2:11">
      <c r="B49" s="118"/>
      <c r="C49" s="119" t="s">
        <v>66</v>
      </c>
      <c r="D49" s="127"/>
      <c r="E49" s="111">
        <v>70000</v>
      </c>
      <c r="F49" s="121">
        <v>1</v>
      </c>
      <c r="G49" s="128" t="s">
        <v>48</v>
      </c>
      <c r="H49" s="121">
        <v>1</v>
      </c>
      <c r="I49" s="118" t="s">
        <v>49</v>
      </c>
      <c r="J49" s="111">
        <v>70000</v>
      </c>
      <c r="K49" s="106" t="s">
        <v>50</v>
      </c>
    </row>
    <row r="50" spans="2:11">
      <c r="B50" s="118"/>
      <c r="C50" s="119" t="s">
        <v>67</v>
      </c>
      <c r="D50" s="127"/>
      <c r="E50" s="129">
        <v>210</v>
      </c>
      <c r="F50" s="121">
        <v>5</v>
      </c>
      <c r="G50" s="118" t="s">
        <v>13</v>
      </c>
      <c r="H50" s="121">
        <v>30</v>
      </c>
      <c r="I50" s="118" t="s">
        <v>24</v>
      </c>
      <c r="J50" s="129">
        <f>E50*F50*H50</f>
        <v>31500</v>
      </c>
      <c r="K50" s="106" t="s">
        <v>59</v>
      </c>
    </row>
    <row r="51" spans="2:11">
      <c r="B51" s="118"/>
      <c r="C51" s="119" t="s">
        <v>68</v>
      </c>
      <c r="D51" s="127"/>
      <c r="E51" s="129">
        <v>2000</v>
      </c>
      <c r="F51" s="121">
        <v>5</v>
      </c>
      <c r="G51" s="118" t="s">
        <v>13</v>
      </c>
      <c r="H51" s="121">
        <v>6</v>
      </c>
      <c r="I51" s="118" t="s">
        <v>14</v>
      </c>
      <c r="J51" s="129">
        <f>E51*F51*H51</f>
        <v>60000</v>
      </c>
      <c r="K51" s="107"/>
    </row>
    <row r="52" spans="2:11">
      <c r="B52" s="118"/>
      <c r="C52" s="119" t="s">
        <v>69</v>
      </c>
      <c r="D52" s="130"/>
      <c r="E52" s="108">
        <v>700</v>
      </c>
      <c r="F52" s="115">
        <v>2</v>
      </c>
      <c r="G52" s="116" t="s">
        <v>13</v>
      </c>
      <c r="H52" s="115">
        <v>1</v>
      </c>
      <c r="I52" s="116" t="s">
        <v>24</v>
      </c>
      <c r="J52" s="117">
        <f>E52*F52*H52</f>
        <v>1400</v>
      </c>
      <c r="K52" s="106" t="s">
        <v>57</v>
      </c>
    </row>
    <row r="53" spans="2:11">
      <c r="B53" s="118"/>
      <c r="C53" s="119" t="s">
        <v>70</v>
      </c>
      <c r="D53" s="120"/>
      <c r="E53" s="108">
        <v>210</v>
      </c>
      <c r="F53" s="115">
        <v>2</v>
      </c>
      <c r="G53" s="116" t="s">
        <v>13</v>
      </c>
      <c r="H53" s="115">
        <v>2</v>
      </c>
      <c r="I53" s="116" t="s">
        <v>24</v>
      </c>
      <c r="J53" s="117">
        <f>E53*F53*H53</f>
        <v>840</v>
      </c>
      <c r="K53" s="106" t="s">
        <v>59</v>
      </c>
    </row>
    <row r="54" spans="2:11">
      <c r="B54" s="118"/>
      <c r="C54" s="137" t="s">
        <v>71</v>
      </c>
      <c r="D54" s="141"/>
      <c r="E54" s="108">
        <v>1800</v>
      </c>
      <c r="F54" s="115">
        <v>2</v>
      </c>
      <c r="G54" s="131" t="s">
        <v>13</v>
      </c>
      <c r="H54" s="115">
        <v>1</v>
      </c>
      <c r="I54" s="116" t="s">
        <v>14</v>
      </c>
      <c r="J54" s="117">
        <f>E54*F54*H54</f>
        <v>3600</v>
      </c>
      <c r="K54" s="108"/>
    </row>
    <row r="55" spans="2:11">
      <c r="B55" s="137" t="s">
        <v>72</v>
      </c>
      <c r="C55" s="141"/>
      <c r="D55" s="141"/>
      <c r="E55" s="119"/>
      <c r="F55" s="119"/>
      <c r="G55" s="119"/>
      <c r="H55" s="115"/>
      <c r="I55" s="115"/>
      <c r="J55" s="117">
        <f>SUM(J48:J54)</f>
        <v>197340</v>
      </c>
      <c r="K55" s="109"/>
    </row>
    <row r="56" spans="2:11">
      <c r="B56" s="16" t="s">
        <v>73</v>
      </c>
      <c r="C56" s="9" t="s">
        <v>74</v>
      </c>
      <c r="D56" s="17"/>
      <c r="E56" s="46"/>
      <c r="F56" s="46"/>
      <c r="G56" s="46"/>
      <c r="H56" s="46"/>
      <c r="I56" s="46"/>
      <c r="J56" s="46"/>
      <c r="K56" s="107"/>
    </row>
    <row r="57" spans="2:11">
      <c r="B57" s="16"/>
      <c r="C57" s="17" t="s">
        <v>65</v>
      </c>
      <c r="D57" s="69"/>
      <c r="E57" s="19">
        <v>30000</v>
      </c>
      <c r="F57" s="20">
        <v>1</v>
      </c>
      <c r="G57" s="4" t="s">
        <v>48</v>
      </c>
      <c r="H57" s="20">
        <v>1</v>
      </c>
      <c r="I57" s="16" t="s">
        <v>49</v>
      </c>
      <c r="J57" s="70">
        <f t="shared" ref="J57:J63" si="1">E57*F57*H57</f>
        <v>30000</v>
      </c>
      <c r="K57" s="106" t="s">
        <v>50</v>
      </c>
    </row>
    <row r="58" spans="2:11">
      <c r="B58" s="16"/>
      <c r="C58" s="17" t="s">
        <v>66</v>
      </c>
      <c r="D58" s="69"/>
      <c r="E58" s="45">
        <v>70000</v>
      </c>
      <c r="F58" s="20">
        <v>1</v>
      </c>
      <c r="G58" s="4" t="s">
        <v>48</v>
      </c>
      <c r="H58" s="20">
        <v>1</v>
      </c>
      <c r="I58" s="16" t="s">
        <v>49</v>
      </c>
      <c r="J58" s="45">
        <f t="shared" si="1"/>
        <v>70000</v>
      </c>
      <c r="K58" s="106" t="s">
        <v>50</v>
      </c>
    </row>
    <row r="59" spans="2:11">
      <c r="B59" s="16"/>
      <c r="C59" s="17" t="s">
        <v>67</v>
      </c>
      <c r="D59" s="69"/>
      <c r="E59" s="108">
        <v>170</v>
      </c>
      <c r="F59" s="20">
        <v>5</v>
      </c>
      <c r="G59" s="16" t="s">
        <v>13</v>
      </c>
      <c r="H59" s="20">
        <v>30</v>
      </c>
      <c r="I59" s="16" t="s">
        <v>24</v>
      </c>
      <c r="J59" s="70">
        <f t="shared" si="1"/>
        <v>25500</v>
      </c>
      <c r="K59" s="106" t="s">
        <v>75</v>
      </c>
    </row>
    <row r="60" spans="2:11">
      <c r="B60" s="16"/>
      <c r="C60" s="17" t="s">
        <v>68</v>
      </c>
      <c r="D60" s="69"/>
      <c r="E60" s="108">
        <v>2000</v>
      </c>
      <c r="F60" s="20">
        <v>5</v>
      </c>
      <c r="G60" s="16" t="s">
        <v>13</v>
      </c>
      <c r="H60" s="20">
        <v>6</v>
      </c>
      <c r="I60" s="16" t="s">
        <v>14</v>
      </c>
      <c r="J60" s="70">
        <f t="shared" si="1"/>
        <v>60000</v>
      </c>
      <c r="K60" s="109"/>
    </row>
    <row r="61" spans="2:11">
      <c r="B61" s="16"/>
      <c r="C61" s="133" t="s">
        <v>69</v>
      </c>
      <c r="D61" s="134"/>
      <c r="E61" s="108">
        <v>700</v>
      </c>
      <c r="F61" s="66">
        <v>2</v>
      </c>
      <c r="G61" s="60" t="s">
        <v>13</v>
      </c>
      <c r="H61" s="66">
        <v>1</v>
      </c>
      <c r="I61" s="60" t="s">
        <v>24</v>
      </c>
      <c r="J61" s="67">
        <f t="shared" si="1"/>
        <v>1400</v>
      </c>
      <c r="K61" s="106" t="s">
        <v>57</v>
      </c>
    </row>
    <row r="62" spans="2:11">
      <c r="B62" s="16"/>
      <c r="C62" s="133" t="s">
        <v>70</v>
      </c>
      <c r="D62" s="134"/>
      <c r="E62" s="113">
        <v>170</v>
      </c>
      <c r="F62" s="66">
        <v>2</v>
      </c>
      <c r="G62" s="60" t="s">
        <v>13</v>
      </c>
      <c r="H62" s="66">
        <v>2</v>
      </c>
      <c r="I62" s="60" t="s">
        <v>24</v>
      </c>
      <c r="J62" s="67">
        <f t="shared" si="1"/>
        <v>680</v>
      </c>
      <c r="K62" s="65" t="s">
        <v>75</v>
      </c>
    </row>
    <row r="63" spans="2:11">
      <c r="B63" s="16"/>
      <c r="C63" s="133" t="s">
        <v>71</v>
      </c>
      <c r="D63" s="134"/>
      <c r="E63" s="113">
        <v>2000</v>
      </c>
      <c r="F63" s="66">
        <v>2</v>
      </c>
      <c r="G63" s="60" t="s">
        <v>13</v>
      </c>
      <c r="H63" s="66">
        <v>1</v>
      </c>
      <c r="I63" s="60" t="s">
        <v>14</v>
      </c>
      <c r="J63" s="67">
        <f t="shared" si="1"/>
        <v>4000</v>
      </c>
      <c r="K63" s="27"/>
    </row>
    <row r="64" spans="2:11">
      <c r="B64" s="133" t="s">
        <v>76</v>
      </c>
      <c r="C64" s="135"/>
      <c r="D64" s="135"/>
      <c r="E64" s="113"/>
      <c r="F64" s="66"/>
      <c r="G64" s="60"/>
      <c r="H64" s="66"/>
      <c r="I64" s="60"/>
      <c r="J64" s="67">
        <f>SUM(J57:J63)</f>
        <v>191580</v>
      </c>
      <c r="K64" s="27"/>
    </row>
    <row r="65" spans="2:11">
      <c r="B65" s="16" t="s">
        <v>77</v>
      </c>
      <c r="C65" s="136" t="s">
        <v>78</v>
      </c>
      <c r="D65" s="136"/>
      <c r="E65" s="112"/>
      <c r="F65" s="46"/>
      <c r="G65" s="46"/>
      <c r="H65" s="46"/>
      <c r="I65" s="46"/>
      <c r="J65" s="18"/>
      <c r="K65" s="27"/>
    </row>
    <row r="66" spans="2:11">
      <c r="B66" s="16"/>
      <c r="C66" s="17" t="s">
        <v>65</v>
      </c>
      <c r="D66" s="69"/>
      <c r="E66" s="108">
        <v>30000</v>
      </c>
      <c r="F66" s="20">
        <v>1</v>
      </c>
      <c r="G66" s="4" t="s">
        <v>48</v>
      </c>
      <c r="H66" s="20">
        <v>1</v>
      </c>
      <c r="I66" s="16" t="s">
        <v>49</v>
      </c>
      <c r="J66" s="70">
        <f>E66*F66*H66</f>
        <v>30000</v>
      </c>
      <c r="K66" s="65" t="s">
        <v>50</v>
      </c>
    </row>
    <row r="67" spans="2:11">
      <c r="B67" s="16"/>
      <c r="C67" s="17" t="s">
        <v>66</v>
      </c>
      <c r="D67" s="69"/>
      <c r="E67" s="111">
        <v>70000</v>
      </c>
      <c r="F67" s="20">
        <v>1</v>
      </c>
      <c r="G67" s="4" t="s">
        <v>48</v>
      </c>
      <c r="H67" s="20">
        <v>1</v>
      </c>
      <c r="I67" s="16" t="s">
        <v>49</v>
      </c>
      <c r="J67" s="45">
        <f>E67*F67*H67</f>
        <v>70000</v>
      </c>
      <c r="K67" s="106" t="s">
        <v>50</v>
      </c>
    </row>
    <row r="68" spans="2:11">
      <c r="B68" s="16"/>
      <c r="C68" s="17" t="s">
        <v>67</v>
      </c>
      <c r="D68" s="69"/>
      <c r="E68" s="108">
        <v>165</v>
      </c>
      <c r="F68" s="20">
        <v>5</v>
      </c>
      <c r="G68" s="16" t="s">
        <v>13</v>
      </c>
      <c r="H68" s="20">
        <v>30</v>
      </c>
      <c r="I68" s="16" t="s">
        <v>24</v>
      </c>
      <c r="J68" s="70">
        <f>E68*F68*H68</f>
        <v>24750</v>
      </c>
      <c r="K68" s="105" t="s">
        <v>79</v>
      </c>
    </row>
    <row r="69" spans="2:11">
      <c r="B69" s="16"/>
      <c r="C69" s="17" t="s">
        <v>68</v>
      </c>
      <c r="D69" s="69"/>
      <c r="E69" s="108">
        <v>2000</v>
      </c>
      <c r="F69" s="20">
        <v>5</v>
      </c>
      <c r="G69" s="16" t="s">
        <v>13</v>
      </c>
      <c r="H69" s="20">
        <v>6</v>
      </c>
      <c r="I69" s="16" t="s">
        <v>14</v>
      </c>
      <c r="J69" s="70">
        <f>E69*F69*H69</f>
        <v>60000</v>
      </c>
      <c r="K69" s="109"/>
    </row>
    <row r="70" spans="2:11">
      <c r="B70" s="16"/>
      <c r="C70" s="133" t="s">
        <v>69</v>
      </c>
      <c r="D70" s="134"/>
      <c r="E70" s="108">
        <v>700</v>
      </c>
      <c r="F70" s="20">
        <v>2</v>
      </c>
      <c r="G70" s="16" t="s">
        <v>13</v>
      </c>
      <c r="H70" s="20">
        <v>1</v>
      </c>
      <c r="I70" s="16" t="s">
        <v>24</v>
      </c>
      <c r="J70" s="70">
        <f>E70*F70*H70</f>
        <v>1400</v>
      </c>
      <c r="K70" s="106" t="s">
        <v>57</v>
      </c>
    </row>
    <row r="71" spans="2:11">
      <c r="B71" s="16"/>
      <c r="C71" s="133" t="s">
        <v>70</v>
      </c>
      <c r="D71" s="134"/>
      <c r="E71" s="108">
        <v>165</v>
      </c>
      <c r="F71" s="20">
        <v>2</v>
      </c>
      <c r="G71" s="16" t="s">
        <v>13</v>
      </c>
      <c r="H71" s="20">
        <v>2</v>
      </c>
      <c r="I71" s="16" t="s">
        <v>24</v>
      </c>
      <c r="J71" s="70">
        <f>+E71*F71*H71</f>
        <v>660</v>
      </c>
      <c r="K71" s="105" t="s">
        <v>79</v>
      </c>
    </row>
    <row r="72" spans="2:11">
      <c r="B72" s="16"/>
      <c r="C72" s="133" t="s">
        <v>71</v>
      </c>
      <c r="D72" s="134"/>
      <c r="E72" s="19">
        <v>2000</v>
      </c>
      <c r="F72" s="20">
        <v>2</v>
      </c>
      <c r="G72" s="16" t="s">
        <v>13</v>
      </c>
      <c r="H72" s="20">
        <v>1</v>
      </c>
      <c r="I72" s="16" t="s">
        <v>14</v>
      </c>
      <c r="J72" s="70">
        <f>E72*F72*H72</f>
        <v>4000</v>
      </c>
      <c r="K72" s="109"/>
    </row>
    <row r="73" spans="2:11">
      <c r="B73" s="133" t="s">
        <v>80</v>
      </c>
      <c r="C73" s="135"/>
      <c r="D73" s="135"/>
      <c r="E73" s="19"/>
      <c r="F73" s="20"/>
      <c r="G73" s="16"/>
      <c r="H73" s="20"/>
      <c r="I73" s="16"/>
      <c r="J73" s="70">
        <f>SUM(J66:J72)</f>
        <v>190810</v>
      </c>
      <c r="K73" s="109"/>
    </row>
    <row r="74" spans="2:11">
      <c r="B74" s="16" t="s">
        <v>81</v>
      </c>
      <c r="C74" s="10" t="s">
        <v>82</v>
      </c>
      <c r="D74" s="72"/>
      <c r="E74" s="72"/>
      <c r="F74" s="72"/>
      <c r="G74" s="72"/>
      <c r="H74" s="72"/>
      <c r="I74" s="72"/>
      <c r="J74" s="73"/>
      <c r="K74" s="110"/>
    </row>
    <row r="75" spans="2:11">
      <c r="B75" s="16"/>
      <c r="C75" s="17" t="s">
        <v>65</v>
      </c>
      <c r="D75" s="18"/>
      <c r="E75" s="19">
        <v>30000</v>
      </c>
      <c r="F75" s="20">
        <v>1</v>
      </c>
      <c r="G75" s="4" t="s">
        <v>48</v>
      </c>
      <c r="H75" s="20">
        <v>1</v>
      </c>
      <c r="I75" s="16" t="s">
        <v>49</v>
      </c>
      <c r="J75" s="70">
        <f>E75*F75*H75</f>
        <v>30000</v>
      </c>
      <c r="K75" s="106" t="s">
        <v>50</v>
      </c>
    </row>
    <row r="76" spans="2:11">
      <c r="B76" s="16"/>
      <c r="C76" s="17" t="s">
        <v>66</v>
      </c>
      <c r="D76" s="18"/>
      <c r="E76" s="111">
        <v>70000</v>
      </c>
      <c r="F76" s="20">
        <v>1</v>
      </c>
      <c r="G76" s="4" t="s">
        <v>48</v>
      </c>
      <c r="H76" s="20">
        <v>1</v>
      </c>
      <c r="I76" s="16" t="s">
        <v>49</v>
      </c>
      <c r="J76" s="45">
        <f>E76*F76*H76</f>
        <v>70000</v>
      </c>
      <c r="K76" s="106" t="s">
        <v>50</v>
      </c>
    </row>
    <row r="77" spans="2:11">
      <c r="B77" s="16"/>
      <c r="C77" s="17" t="s">
        <v>67</v>
      </c>
      <c r="D77" s="18"/>
      <c r="E77" s="108">
        <v>160</v>
      </c>
      <c r="F77" s="20">
        <v>5</v>
      </c>
      <c r="G77" s="16" t="s">
        <v>13</v>
      </c>
      <c r="H77" s="20">
        <v>30</v>
      </c>
      <c r="I77" s="16" t="s">
        <v>24</v>
      </c>
      <c r="J77" s="70">
        <f>E77*F77*H77</f>
        <v>24000</v>
      </c>
      <c r="K77" s="105" t="s">
        <v>83</v>
      </c>
    </row>
    <row r="78" spans="2:11">
      <c r="B78" s="16"/>
      <c r="C78" s="17" t="s">
        <v>68</v>
      </c>
      <c r="D78" s="18"/>
      <c r="E78" s="108">
        <v>2000</v>
      </c>
      <c r="F78" s="20">
        <v>5</v>
      </c>
      <c r="G78" s="16" t="s">
        <v>13</v>
      </c>
      <c r="H78" s="20">
        <v>6</v>
      </c>
      <c r="I78" s="16" t="s">
        <v>14</v>
      </c>
      <c r="J78" s="70">
        <f>E78*F78*H78</f>
        <v>60000</v>
      </c>
      <c r="K78" s="109"/>
    </row>
    <row r="79" spans="2:11">
      <c r="B79" s="16"/>
      <c r="C79" s="133" t="s">
        <v>69</v>
      </c>
      <c r="D79" s="134"/>
      <c r="E79" s="108">
        <v>700</v>
      </c>
      <c r="F79" s="20">
        <v>2</v>
      </c>
      <c r="G79" s="16" t="s">
        <v>13</v>
      </c>
      <c r="H79" s="20">
        <v>1</v>
      </c>
      <c r="I79" s="16" t="s">
        <v>24</v>
      </c>
      <c r="J79" s="70">
        <f>+E79*F79*H79</f>
        <v>1400</v>
      </c>
      <c r="K79" s="106" t="s">
        <v>57</v>
      </c>
    </row>
    <row r="80" spans="2:11">
      <c r="B80" s="16"/>
      <c r="C80" s="133" t="s">
        <v>70</v>
      </c>
      <c r="D80" s="134"/>
      <c r="E80" s="108">
        <v>160</v>
      </c>
      <c r="F80" s="20">
        <v>2</v>
      </c>
      <c r="G80" s="16" t="s">
        <v>13</v>
      </c>
      <c r="H80" s="20">
        <v>2</v>
      </c>
      <c r="I80" s="16" t="s">
        <v>24</v>
      </c>
      <c r="J80" s="70">
        <f>E80*F80*H80</f>
        <v>640</v>
      </c>
      <c r="K80" s="71" t="s">
        <v>83</v>
      </c>
    </row>
    <row r="81" spans="2:11">
      <c r="B81" s="16"/>
      <c r="C81" s="133" t="s">
        <v>71</v>
      </c>
      <c r="D81" s="134"/>
      <c r="E81" s="108">
        <v>2000</v>
      </c>
      <c r="F81" s="20">
        <v>2</v>
      </c>
      <c r="G81" s="16" t="s">
        <v>13</v>
      </c>
      <c r="H81" s="20">
        <v>1</v>
      </c>
      <c r="I81" s="16" t="s">
        <v>14</v>
      </c>
      <c r="J81" s="70">
        <f>E81*F81*H81</f>
        <v>4000</v>
      </c>
      <c r="K81" s="27"/>
    </row>
    <row r="82" spans="2:11">
      <c r="B82" s="17" t="s">
        <v>84</v>
      </c>
      <c r="C82" s="46"/>
      <c r="D82" s="18"/>
      <c r="E82" s="108"/>
      <c r="F82" s="20"/>
      <c r="G82" s="16"/>
      <c r="H82" s="20"/>
      <c r="I82" s="16"/>
      <c r="J82" s="70">
        <f>SUM(J75:J81)</f>
        <v>190040</v>
      </c>
      <c r="K82" s="27"/>
    </row>
    <row r="83" spans="2:11">
      <c r="B83" s="16" t="s">
        <v>85</v>
      </c>
      <c r="C83" s="10" t="s">
        <v>86</v>
      </c>
      <c r="D83" s="46"/>
      <c r="E83" s="112"/>
      <c r="F83" s="46"/>
      <c r="G83" s="46"/>
      <c r="H83" s="46"/>
      <c r="I83" s="46"/>
      <c r="J83" s="18"/>
      <c r="K83" s="27"/>
    </row>
    <row r="84" spans="2:11">
      <c r="B84" s="21"/>
      <c r="C84" s="21" t="s">
        <v>65</v>
      </c>
      <c r="D84" s="21"/>
      <c r="E84" s="108">
        <v>30000</v>
      </c>
      <c r="F84" s="20">
        <v>1</v>
      </c>
      <c r="G84" s="4" t="s">
        <v>48</v>
      </c>
      <c r="H84" s="20">
        <v>1</v>
      </c>
      <c r="I84" s="16" t="s">
        <v>49</v>
      </c>
      <c r="J84" s="19">
        <v>30000</v>
      </c>
      <c r="K84" s="65" t="s">
        <v>50</v>
      </c>
    </row>
    <row r="85" spans="2:11">
      <c r="B85" s="21"/>
      <c r="C85" s="21" t="s">
        <v>66</v>
      </c>
      <c r="D85" s="21"/>
      <c r="E85" s="111">
        <v>70000</v>
      </c>
      <c r="F85" s="20">
        <v>1</v>
      </c>
      <c r="G85" s="4" t="s">
        <v>48</v>
      </c>
      <c r="H85" s="20">
        <v>1</v>
      </c>
      <c r="I85" s="16" t="s">
        <v>49</v>
      </c>
      <c r="J85" s="45">
        <v>70000</v>
      </c>
      <c r="K85" s="65" t="s">
        <v>50</v>
      </c>
    </row>
    <row r="86" spans="2:11">
      <c r="B86" s="21"/>
      <c r="C86" s="21" t="s">
        <v>67</v>
      </c>
      <c r="D86" s="21"/>
      <c r="E86" s="108">
        <v>215</v>
      </c>
      <c r="F86" s="20">
        <v>5</v>
      </c>
      <c r="G86" s="16" t="s">
        <v>13</v>
      </c>
      <c r="H86" s="20">
        <v>30</v>
      </c>
      <c r="I86" s="16" t="s">
        <v>24</v>
      </c>
      <c r="J86" s="19">
        <f>E86*F86*H86</f>
        <v>32250</v>
      </c>
      <c r="K86" s="71" t="s">
        <v>87</v>
      </c>
    </row>
    <row r="87" spans="2:11">
      <c r="B87" s="21"/>
      <c r="C87" s="21" t="s">
        <v>68</v>
      </c>
      <c r="D87" s="21"/>
      <c r="E87" s="108">
        <v>2000</v>
      </c>
      <c r="F87" s="20">
        <v>5</v>
      </c>
      <c r="G87" s="16" t="s">
        <v>13</v>
      </c>
      <c r="H87" s="20">
        <v>6</v>
      </c>
      <c r="I87" s="16" t="s">
        <v>14</v>
      </c>
      <c r="J87" s="19">
        <f>E87*F87*H87</f>
        <v>60000</v>
      </c>
      <c r="K87" s="27"/>
    </row>
    <row r="88" spans="2:11">
      <c r="B88" s="21"/>
      <c r="C88" s="133" t="s">
        <v>69</v>
      </c>
      <c r="D88" s="134"/>
      <c r="E88" s="108">
        <v>700</v>
      </c>
      <c r="F88" s="20">
        <v>2</v>
      </c>
      <c r="G88" s="16" t="s">
        <v>13</v>
      </c>
      <c r="H88" s="20">
        <v>1</v>
      </c>
      <c r="I88" s="16" t="s">
        <v>24</v>
      </c>
      <c r="J88" s="19">
        <f>E88*F88*H88</f>
        <v>1400</v>
      </c>
      <c r="K88" s="106" t="s">
        <v>57</v>
      </c>
    </row>
    <row r="89" spans="2:11">
      <c r="B89" s="21"/>
      <c r="C89" s="133" t="s">
        <v>70</v>
      </c>
      <c r="D89" s="134"/>
      <c r="E89" s="108">
        <v>215</v>
      </c>
      <c r="F89" s="20">
        <v>2</v>
      </c>
      <c r="G89" s="16" t="s">
        <v>13</v>
      </c>
      <c r="H89" s="20">
        <v>2</v>
      </c>
      <c r="I89" s="16" t="s">
        <v>24</v>
      </c>
      <c r="J89" s="19">
        <f>E89*F89*H89</f>
        <v>860</v>
      </c>
      <c r="K89" s="71" t="s">
        <v>87</v>
      </c>
    </row>
    <row r="90" spans="2:11">
      <c r="B90" s="21"/>
      <c r="C90" s="133" t="s">
        <v>71</v>
      </c>
      <c r="D90" s="134"/>
      <c r="E90" s="108">
        <v>2000</v>
      </c>
      <c r="F90" s="20">
        <v>2</v>
      </c>
      <c r="G90" s="16" t="s">
        <v>13</v>
      </c>
      <c r="H90" s="20">
        <v>1</v>
      </c>
      <c r="I90" s="16" t="s">
        <v>14</v>
      </c>
      <c r="J90" s="19">
        <f>E90*F90*H90</f>
        <v>4000</v>
      </c>
      <c r="K90" s="27"/>
    </row>
    <row r="91" spans="2:11">
      <c r="B91" s="17" t="s">
        <v>88</v>
      </c>
      <c r="C91" s="46"/>
      <c r="D91" s="18"/>
      <c r="E91" s="23"/>
      <c r="F91" s="24"/>
      <c r="G91" s="25"/>
      <c r="H91" s="24"/>
      <c r="I91" s="25"/>
      <c r="J91" s="70">
        <f>SUM(J84:J87)</f>
        <v>192250</v>
      </c>
      <c r="K91" s="27"/>
    </row>
    <row r="92" spans="2:11">
      <c r="B92" s="21" t="s">
        <v>89</v>
      </c>
      <c r="C92" s="46"/>
      <c r="D92" s="18"/>
      <c r="E92" s="23"/>
      <c r="F92" s="24"/>
      <c r="G92" s="25"/>
      <c r="H92" s="24"/>
      <c r="I92" s="25"/>
      <c r="J92" s="26">
        <f>SUM(J46+J55+J64+J73+J82+J91)</f>
        <v>1891820</v>
      </c>
      <c r="K92" s="50"/>
    </row>
    <row r="93" spans="2:11">
      <c r="B93" s="51"/>
      <c r="C93" s="52"/>
      <c r="D93" s="52"/>
      <c r="E93" s="74"/>
      <c r="G93" s="54"/>
      <c r="I93" s="54"/>
      <c r="J93" s="75"/>
      <c r="K93" s="56"/>
    </row>
    <row r="94" spans="2:11">
      <c r="B94" s="76" t="s">
        <v>90</v>
      </c>
      <c r="C94" s="77"/>
      <c r="D94" s="77"/>
      <c r="E94" s="78"/>
      <c r="F94" s="79"/>
      <c r="G94" s="80"/>
      <c r="H94" s="79"/>
      <c r="I94" s="80"/>
      <c r="J94" s="78">
        <f>J34+J92</f>
        <v>2524770</v>
      </c>
      <c r="K94" s="81"/>
    </row>
    <row r="95" spans="2:11">
      <c r="B95" s="51"/>
      <c r="C95" s="52"/>
      <c r="D95" s="52"/>
      <c r="E95" s="74"/>
      <c r="G95" s="54"/>
      <c r="I95" s="54"/>
      <c r="J95" s="75"/>
      <c r="K95" s="59"/>
    </row>
    <row r="96" spans="2:11">
      <c r="B96" s="7" t="s">
        <v>91</v>
      </c>
      <c r="C96" s="7"/>
      <c r="D96" s="7"/>
      <c r="E96" s="7"/>
      <c r="F96" s="7"/>
      <c r="G96" s="7"/>
      <c r="H96" s="7"/>
      <c r="I96" s="7"/>
      <c r="J96" s="7"/>
      <c r="K96" s="82"/>
    </row>
    <row r="97" spans="2:11">
      <c r="B97" s="57" t="s">
        <v>92</v>
      </c>
      <c r="C97" s="52"/>
      <c r="D97" s="52"/>
      <c r="E97" s="53"/>
      <c r="G97" s="54"/>
      <c r="I97" s="54"/>
      <c r="J97" s="83"/>
      <c r="K97" s="27"/>
    </row>
    <row r="98" spans="2:11">
      <c r="B98" s="16" t="s">
        <v>93</v>
      </c>
      <c r="C98" s="17" t="s">
        <v>94</v>
      </c>
      <c r="D98" s="18"/>
      <c r="E98" s="19">
        <v>4000</v>
      </c>
      <c r="F98" s="20">
        <v>1</v>
      </c>
      <c r="G98" s="16" t="s">
        <v>95</v>
      </c>
      <c r="H98" s="20">
        <v>5</v>
      </c>
      <c r="I98" s="16" t="s">
        <v>49</v>
      </c>
      <c r="J98" s="19">
        <f>E98*F98*H98</f>
        <v>20000</v>
      </c>
      <c r="K98" s="65" t="s">
        <v>96</v>
      </c>
    </row>
    <row r="99" spans="2:11">
      <c r="B99" s="16" t="s">
        <v>97</v>
      </c>
      <c r="C99" s="17" t="s">
        <v>98</v>
      </c>
      <c r="D99" s="18"/>
      <c r="E99" s="19">
        <v>100</v>
      </c>
      <c r="F99" s="20">
        <v>80</v>
      </c>
      <c r="G99" s="16" t="s">
        <v>49</v>
      </c>
      <c r="H99" s="20">
        <v>5</v>
      </c>
      <c r="I99" s="16" t="s">
        <v>49</v>
      </c>
      <c r="J99" s="19">
        <f>E99*F99*H99</f>
        <v>40000</v>
      </c>
      <c r="K99" s="65" t="s">
        <v>99</v>
      </c>
    </row>
    <row r="100" spans="2:11">
      <c r="B100" s="21" t="s">
        <v>100</v>
      </c>
      <c r="C100" s="29"/>
      <c r="D100" s="29"/>
      <c r="E100" s="84"/>
      <c r="F100" s="31"/>
      <c r="G100" s="32"/>
      <c r="H100" s="31"/>
      <c r="I100" s="32"/>
      <c r="J100" s="85">
        <f>SUM(J98:J99)</f>
        <v>60000</v>
      </c>
      <c r="K100" s="50"/>
    </row>
    <row r="101" spans="2:11">
      <c r="B101" s="51"/>
      <c r="C101" s="52"/>
      <c r="D101" s="52"/>
      <c r="E101" s="74"/>
      <c r="G101" s="54"/>
      <c r="I101" s="54"/>
      <c r="J101" s="86"/>
      <c r="K101" s="56"/>
    </row>
    <row r="102" spans="2:11">
      <c r="B102" s="57" t="s">
        <v>101</v>
      </c>
      <c r="C102" s="52"/>
      <c r="D102" s="52"/>
      <c r="E102" s="53"/>
      <c r="G102" s="54"/>
      <c r="I102" s="54"/>
      <c r="J102" s="30"/>
      <c r="K102" s="59"/>
    </row>
    <row r="103" spans="2:11">
      <c r="B103" s="16" t="s">
        <v>102</v>
      </c>
      <c r="C103" s="17" t="s">
        <v>103</v>
      </c>
      <c r="D103" s="18"/>
      <c r="E103" s="19">
        <v>1000</v>
      </c>
      <c r="F103" s="20">
        <v>2</v>
      </c>
      <c r="G103" s="16" t="s">
        <v>13</v>
      </c>
      <c r="H103" s="20">
        <v>5</v>
      </c>
      <c r="I103" s="16" t="s">
        <v>49</v>
      </c>
      <c r="J103" s="87">
        <f>E103*F103*H103</f>
        <v>10000</v>
      </c>
      <c r="K103" s="61"/>
    </row>
    <row r="104" spans="2:11">
      <c r="B104" s="16" t="s">
        <v>104</v>
      </c>
      <c r="C104" s="17" t="s">
        <v>105</v>
      </c>
      <c r="D104" s="46"/>
      <c r="E104" s="19">
        <v>200</v>
      </c>
      <c r="F104" s="20">
        <v>5</v>
      </c>
      <c r="G104" s="16" t="s">
        <v>13</v>
      </c>
      <c r="H104" s="20">
        <v>5</v>
      </c>
      <c r="I104" s="16" t="s">
        <v>49</v>
      </c>
      <c r="J104" s="19">
        <f>E104*F104*H104</f>
        <v>5000</v>
      </c>
      <c r="K104" s="27"/>
    </row>
    <row r="105" spans="2:11">
      <c r="B105" s="21" t="s">
        <v>106</v>
      </c>
      <c r="C105" s="46"/>
      <c r="D105" s="46"/>
      <c r="E105" s="23"/>
      <c r="F105" s="24"/>
      <c r="G105" s="25"/>
      <c r="H105" s="24"/>
      <c r="I105" s="25"/>
      <c r="J105" s="26">
        <f>SUM(J103:J104)</f>
        <v>15000</v>
      </c>
      <c r="K105" s="50"/>
    </row>
    <row r="106" spans="2:11">
      <c r="B106" s="51"/>
      <c r="C106" s="52"/>
      <c r="D106" s="52"/>
      <c r="E106" s="74"/>
      <c r="G106" s="54"/>
      <c r="I106" s="54"/>
      <c r="J106" s="75"/>
      <c r="K106" s="56"/>
    </row>
    <row r="107" spans="2:11">
      <c r="B107" s="76" t="s">
        <v>107</v>
      </c>
      <c r="C107" s="77"/>
      <c r="D107" s="77"/>
      <c r="E107" s="78"/>
      <c r="F107" s="79"/>
      <c r="G107" s="80"/>
      <c r="H107" s="79"/>
      <c r="I107" s="80"/>
      <c r="J107" s="78">
        <f>J100+J105</f>
        <v>75000</v>
      </c>
      <c r="K107" s="81"/>
    </row>
    <row r="108" spans="2:11">
      <c r="B108" s="57"/>
      <c r="C108" s="88"/>
      <c r="D108" s="88"/>
      <c r="E108" s="75"/>
      <c r="F108" s="89"/>
      <c r="G108" s="90"/>
      <c r="H108" s="89"/>
      <c r="I108" s="90"/>
      <c r="J108" s="75"/>
      <c r="K108" s="59"/>
    </row>
    <row r="109" spans="2:11">
      <c r="B109" s="9" t="s">
        <v>108</v>
      </c>
      <c r="C109" s="10"/>
      <c r="D109" s="10"/>
      <c r="E109" s="33"/>
      <c r="F109" s="12"/>
      <c r="G109" s="13"/>
      <c r="H109" s="12"/>
      <c r="I109" s="13"/>
      <c r="J109" s="91">
        <f>J94+J107</f>
        <v>2599770</v>
      </c>
      <c r="K109" s="61"/>
    </row>
    <row r="110" spans="2:11">
      <c r="B110" s="51"/>
      <c r="C110" s="52"/>
      <c r="D110" s="52"/>
      <c r="E110" s="74"/>
      <c r="G110" s="54"/>
      <c r="I110" s="54"/>
      <c r="J110" s="23"/>
      <c r="K110" s="34"/>
    </row>
    <row r="111" spans="2:11">
      <c r="B111" s="9" t="s">
        <v>109</v>
      </c>
      <c r="C111" s="46"/>
      <c r="D111" s="46"/>
      <c r="E111" s="47"/>
      <c r="F111" s="24"/>
      <c r="G111" s="25"/>
      <c r="H111" s="24"/>
      <c r="I111" s="25"/>
      <c r="J111" s="85">
        <f>J109*0.05</f>
        <v>129988.5</v>
      </c>
      <c r="K111" s="34"/>
    </row>
    <row r="112" spans="2:11">
      <c r="B112" s="9"/>
      <c r="C112" s="29"/>
      <c r="D112" s="29"/>
      <c r="E112" s="30"/>
      <c r="F112" s="31"/>
      <c r="G112" s="32"/>
      <c r="H112" s="31"/>
      <c r="I112" s="32"/>
      <c r="J112" s="33"/>
      <c r="K112" s="34"/>
    </row>
    <row r="113" spans="2:11">
      <c r="B113" s="9" t="s">
        <v>110</v>
      </c>
      <c r="C113" s="46"/>
      <c r="D113" s="46"/>
      <c r="E113" s="47"/>
      <c r="F113" s="24"/>
      <c r="G113" s="25"/>
      <c r="H113" s="24"/>
      <c r="I113" s="25"/>
      <c r="J113" s="85">
        <f>(J109+J111)*0.06</f>
        <v>163785.50999999998</v>
      </c>
      <c r="K113" s="27"/>
    </row>
    <row r="114" spans="2:11">
      <c r="B114" s="28"/>
      <c r="C114" s="29"/>
      <c r="D114" s="29"/>
      <c r="E114" s="30"/>
      <c r="F114" s="31"/>
      <c r="G114" s="32"/>
      <c r="H114" s="31"/>
      <c r="I114" s="32"/>
      <c r="J114" s="33"/>
      <c r="K114" s="34"/>
    </row>
    <row r="115" spans="2:11" ht="15.75">
      <c r="B115" s="92" t="s">
        <v>111</v>
      </c>
      <c r="C115" s="29"/>
      <c r="D115" s="29"/>
      <c r="E115" s="30"/>
      <c r="F115" s="31"/>
      <c r="G115" s="32"/>
      <c r="H115" s="31"/>
      <c r="I115" s="32"/>
      <c r="J115" s="93">
        <f>J109+J113+J111</f>
        <v>2893544.01</v>
      </c>
      <c r="K115" s="27"/>
    </row>
    <row r="118" spans="2:11">
      <c r="B118" s="94"/>
      <c r="C118" s="94"/>
      <c r="D118" s="94"/>
      <c r="E118" s="95"/>
      <c r="F118" s="96"/>
      <c r="G118" s="97"/>
      <c r="H118" s="96"/>
      <c r="I118" s="98"/>
      <c r="J118" s="95"/>
    </row>
    <row r="119" spans="2:11">
      <c r="B119" s="94"/>
      <c r="C119" s="94"/>
      <c r="D119" s="94"/>
      <c r="E119" s="95"/>
      <c r="F119" s="96"/>
      <c r="G119" s="97"/>
      <c r="H119" s="96"/>
      <c r="I119" s="98"/>
      <c r="J119" s="95"/>
    </row>
  </sheetData>
  <mergeCells count="30">
    <mergeCell ref="C20:D20"/>
    <mergeCell ref="C21:D21"/>
    <mergeCell ref="C22:D22"/>
    <mergeCell ref="C23:D23"/>
    <mergeCell ref="C9:D9"/>
    <mergeCell ref="C24:D24"/>
    <mergeCell ref="C37:J37"/>
    <mergeCell ref="C38:D38"/>
    <mergeCell ref="C40:D40"/>
    <mergeCell ref="C42:D42"/>
    <mergeCell ref="C44:D44"/>
    <mergeCell ref="C45:D45"/>
    <mergeCell ref="D47:J47"/>
    <mergeCell ref="C54:D54"/>
    <mergeCell ref="B55:D55"/>
    <mergeCell ref="C61:D61"/>
    <mergeCell ref="C62:D62"/>
    <mergeCell ref="C63:D63"/>
    <mergeCell ref="B64:D64"/>
    <mergeCell ref="C65:D65"/>
    <mergeCell ref="C70:D70"/>
    <mergeCell ref="C71:D71"/>
    <mergeCell ref="C72:D72"/>
    <mergeCell ref="B73:D73"/>
    <mergeCell ref="C79:D79"/>
    <mergeCell ref="C80:D80"/>
    <mergeCell ref="C81:D81"/>
    <mergeCell ref="C88:D88"/>
    <mergeCell ref="C89:D89"/>
    <mergeCell ref="C90:D90"/>
  </mergeCells>
  <pageMargins left="0.7" right="0.7" top="0.75" bottom="0.75" header="0.3" footer="0.3"/>
  <pageSetup paperSize="9" orientation="landscape"/>
  <ignoredErrors>
    <ignoredError sqref="J71 J7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template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</dc:creator>
  <cp:lastModifiedBy>ACD</cp:lastModifiedBy>
  <dcterms:created xsi:type="dcterms:W3CDTF">2012-08-15T09:53:00Z</dcterms:created>
  <dcterms:modified xsi:type="dcterms:W3CDTF">2026-02-26T04:24:24Z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AA60455D27C4455195E38EB5DA6BDF6A_13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